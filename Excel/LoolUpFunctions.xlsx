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_AF\DPBA_D2957\Excel\"/>
    </mc:Choice>
  </mc:AlternateContent>
  <xr:revisionPtr revIDLastSave="0" documentId="13_ncr:1_{0944572C-909F-4C63-B886-F4CF0E1A54C5}" xr6:coauthVersionLast="37" xr6:coauthVersionMax="37" xr10:uidLastSave="{00000000-0000-0000-0000-000000000000}"/>
  <bookViews>
    <workbookView xWindow="0" yWindow="0" windowWidth="7610" windowHeight="3290" firstSheet="1" activeTab="8" xr2:uid="{066307F8-7EC8-4024-A9E6-C5A0D500EC66}"/>
  </bookViews>
  <sheets>
    <sheet name="Data" sheetId="1" r:id="rId1"/>
    <sheet name="VLOOKUP" sheetId="2" r:id="rId2"/>
    <sheet name="HData" sheetId="3" r:id="rId3"/>
    <sheet name="HLOOKUP" sheetId="4" r:id="rId4"/>
    <sheet name="INDEX" sheetId="5" r:id="rId5"/>
    <sheet name="MATCH" sheetId="6" r:id="rId6"/>
    <sheet name="BOTHTOGETHERDATA" sheetId="7" r:id="rId7"/>
    <sheet name="INDEXANDMATCH" sheetId="8" r:id="rId8"/>
    <sheet name="Sheet7" sheetId="9" r:id="rId9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7" i="8" l="1"/>
  <c r="H7" i="8"/>
  <c r="H8" i="8"/>
  <c r="G81" i="7"/>
  <c r="G80" i="7"/>
  <c r="G79" i="7"/>
  <c r="G78" i="7"/>
  <c r="G77" i="7"/>
  <c r="G76" i="7"/>
  <c r="G75" i="7"/>
  <c r="G74" i="7"/>
  <c r="G73" i="7"/>
  <c r="G72" i="7"/>
  <c r="G71" i="7"/>
  <c r="G70" i="7"/>
  <c r="G69" i="7"/>
  <c r="G68" i="7"/>
  <c r="G67" i="7"/>
  <c r="G66" i="7"/>
  <c r="G65" i="7"/>
  <c r="G64" i="7"/>
  <c r="G63" i="7"/>
  <c r="G62" i="7"/>
  <c r="G61" i="7"/>
  <c r="G60" i="7"/>
  <c r="G59" i="7"/>
  <c r="G58" i="7"/>
  <c r="G57" i="7"/>
  <c r="G56" i="7"/>
  <c r="G55" i="7"/>
  <c r="G54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G3" i="7"/>
  <c r="G2" i="7"/>
  <c r="H4" i="6"/>
  <c r="H2" i="5"/>
  <c r="H3" i="5"/>
  <c r="M13" i="5"/>
  <c r="M12" i="5"/>
  <c r="G6" i="4"/>
  <c r="E5" i="2"/>
  <c r="H6" i="4"/>
  <c r="F5" i="2" l="1"/>
  <c r="M84" i="1"/>
  <c r="M83" i="1"/>
  <c r="M85" i="1" s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N4" i="1"/>
  <c r="I4" i="1"/>
  <c r="I3" i="1"/>
  <c r="M86" i="1" l="1"/>
</calcChain>
</file>

<file path=xl/sharedStrings.xml><?xml version="1.0" encoding="utf-8"?>
<sst xmlns="http://schemas.openxmlformats.org/spreadsheetml/2006/main" count="1923" uniqueCount="344">
  <si>
    <t>Mon</t>
  </si>
  <si>
    <t>Tue</t>
  </si>
  <si>
    <t>Wed</t>
  </si>
  <si>
    <t>Thu</t>
  </si>
  <si>
    <t>Fri</t>
  </si>
  <si>
    <t>S.No</t>
  </si>
  <si>
    <t>Cohort</t>
  </si>
  <si>
    <t>Enrollment number</t>
  </si>
  <si>
    <t>Name of the Student</t>
  </si>
  <si>
    <t>Specialization</t>
  </si>
  <si>
    <t>MobileNo</t>
  </si>
  <si>
    <t>Mail IDs</t>
  </si>
  <si>
    <t>Gender</t>
  </si>
  <si>
    <t>Name According to Bank</t>
  </si>
  <si>
    <t>Parent Mobile NO</t>
  </si>
  <si>
    <t>DOB</t>
  </si>
  <si>
    <t>Age</t>
  </si>
  <si>
    <t>0223CPIT001</t>
  </si>
  <si>
    <t>NIKITHA ADULA</t>
  </si>
  <si>
    <t>ITES</t>
  </si>
  <si>
    <t>nikitha.itesites@gmail.com</t>
  </si>
  <si>
    <t>Female</t>
  </si>
  <si>
    <t>01.01.2005</t>
  </si>
  <si>
    <t>P</t>
  </si>
  <si>
    <t>A</t>
  </si>
  <si>
    <t>L</t>
  </si>
  <si>
    <t>0223CPIT002</t>
  </si>
  <si>
    <t>ADULA LIKHITHA</t>
  </si>
  <si>
    <t>Full Stack</t>
  </si>
  <si>
    <t>adulalikitha.fullstack@gmail.com</t>
  </si>
  <si>
    <t>06.10.2002</t>
  </si>
  <si>
    <t>0223CPIT003</t>
  </si>
  <si>
    <t>AKASH RAJPOOT</t>
  </si>
  <si>
    <t>akashrajpoot.fullstack@gmail.com</t>
  </si>
  <si>
    <t>Male</t>
  </si>
  <si>
    <t>09.06.2004</t>
  </si>
  <si>
    <t>0223CPIT004</t>
  </si>
  <si>
    <t>ALOK KUMAR</t>
  </si>
  <si>
    <t>alokkumar.fullstack@gmail.com</t>
  </si>
  <si>
    <t>28.03.2004</t>
  </si>
  <si>
    <t>0223CPIT005</t>
  </si>
  <si>
    <t>AYUSHMAN SINGH BAGHEL</t>
  </si>
  <si>
    <t>ayushmansinghbaghel.fullstack@gmail.com</t>
  </si>
  <si>
    <t>02.12.2005</t>
  </si>
  <si>
    <t>0223CPIT006</t>
  </si>
  <si>
    <t>B SANDEEP ROY</t>
  </si>
  <si>
    <t>bsandeeproy.itesites@gmail.com</t>
  </si>
  <si>
    <t>10.07.1998</t>
  </si>
  <si>
    <t>0223CPIT007</t>
  </si>
  <si>
    <t>B. SRINIVASULU</t>
  </si>
  <si>
    <t>bsrinivasulu.fullstack@gmail.com</t>
  </si>
  <si>
    <t>16.06.2005</t>
  </si>
  <si>
    <t>0223CPIT008</t>
  </si>
  <si>
    <t>BAIRI PRATHYUSH</t>
  </si>
  <si>
    <t>bairiprathyush.fullstack@gmail.com</t>
  </si>
  <si>
    <t>02.08.2002</t>
  </si>
  <si>
    <t>0223CPIT009</t>
  </si>
  <si>
    <t>BANDAPALLI GANGABHAVANI</t>
  </si>
  <si>
    <t>bandapalligangabhavani.itesites@gmail.com</t>
  </si>
  <si>
    <t>10.11.2001</t>
  </si>
  <si>
    <t>0223CPIT010</t>
  </si>
  <si>
    <t>BURRI VINITHA</t>
  </si>
  <si>
    <t>burrivinitha.fullstack@gmail.com</t>
  </si>
  <si>
    <t>12.09.2004</t>
  </si>
  <si>
    <t>0223CPIT011</t>
  </si>
  <si>
    <t>CHANDRA SAMPATH KUMAR</t>
  </si>
  <si>
    <t>chandrasampathkumar.fullstack@gmail.com</t>
  </si>
  <si>
    <t>09.12.2002</t>
  </si>
  <si>
    <t>0223CPIT012</t>
  </si>
  <si>
    <t>CHINNAKOTLA SURYA TEJA</t>
  </si>
  <si>
    <t>chinnakotlasuryateja.fullstack@gmail.com</t>
  </si>
  <si>
    <t>23.03.2001</t>
  </si>
  <si>
    <t>0223CPIT013</t>
  </si>
  <si>
    <t>DASARI VIMALA</t>
  </si>
  <si>
    <t>dasarivimala.fullstack@gmail.com</t>
  </si>
  <si>
    <t>01.10.2003</t>
  </si>
  <si>
    <t>0223CPIT014</t>
  </si>
  <si>
    <t>DEVALLA DEEPAK</t>
  </si>
  <si>
    <t>devalladeepak.itesites@gmail.com</t>
  </si>
  <si>
    <t>30.01.2006</t>
  </si>
  <si>
    <t>0223CPIT015</t>
  </si>
  <si>
    <t>DEVKATHE KOMAL</t>
  </si>
  <si>
    <t>devkathekomal.fullstack@gmail.com</t>
  </si>
  <si>
    <t>09.03.2003</t>
  </si>
  <si>
    <t>0223CPIT016</t>
  </si>
  <si>
    <t>EERAMMAGARI RAVITEJA</t>
  </si>
  <si>
    <t>eerammagariraviteja.fullstack@gmail.com</t>
  </si>
  <si>
    <t>15.06.2005</t>
  </si>
  <si>
    <t>0223CPIT017</t>
  </si>
  <si>
    <t>ELLENDULA SUPRIYA</t>
  </si>
  <si>
    <t>ellendulasupriya.itesites@gmail.com</t>
  </si>
  <si>
    <t>02.11.2003</t>
  </si>
  <si>
    <t>0223CPIT018</t>
  </si>
  <si>
    <t>GADIYARAM VARSHA</t>
  </si>
  <si>
    <t>gadiyaramvarsha.fullstack@gmail.com</t>
  </si>
  <si>
    <t>26.08.2006</t>
  </si>
  <si>
    <t>0223CPIT019</t>
  </si>
  <si>
    <t>GAIKWAD SRUSHTI</t>
  </si>
  <si>
    <t>gaikwadsrushti.fullstack@gmail.com</t>
  </si>
  <si>
    <t>06.12.2003</t>
  </si>
  <si>
    <t>0223CPIT020</t>
  </si>
  <si>
    <t>GAJJELA GIRI</t>
  </si>
  <si>
    <t>gajjelagiri.itesites@gmail.com</t>
  </si>
  <si>
    <t>01.01.2006</t>
  </si>
  <si>
    <t>0223CPIT021</t>
  </si>
  <si>
    <t>GARAPATI GAYATHRI</t>
  </si>
  <si>
    <t>garapatigayathri.itesites@gmail.com</t>
  </si>
  <si>
    <t>11.04.2002</t>
  </si>
  <si>
    <t>0223CPIT022</t>
  </si>
  <si>
    <t>GOLI SAI LOKESH</t>
  </si>
  <si>
    <t>golisailokesh.fullstack@gmail.com</t>
  </si>
  <si>
    <t>13.01.2003</t>
  </si>
  <si>
    <t>0223CPIT023</t>
  </si>
  <si>
    <t>GURRAM YAMINI</t>
  </si>
  <si>
    <t>gurramyamini.fullstack@gmail.com</t>
  </si>
  <si>
    <t>21.07.2002</t>
  </si>
  <si>
    <t>0223CPIT024</t>
  </si>
  <si>
    <t>HARI OM RAI</t>
  </si>
  <si>
    <t>hariomrai.fullstack@gmail.com</t>
  </si>
  <si>
    <t>01.07.2005</t>
  </si>
  <si>
    <t>0223CPIT025</t>
  </si>
  <si>
    <t>JADHAV YOGESH DHARAMSIGH</t>
  </si>
  <si>
    <t>jadhavyogeshdharamsigh.fullstack@gmail.com</t>
  </si>
  <si>
    <t>10.06.2004</t>
  </si>
  <si>
    <t>0223CPIT026</t>
  </si>
  <si>
    <t>K. SANTOSHI</t>
  </si>
  <si>
    <t>ksantoshi.fullstack@gmail.com</t>
  </si>
  <si>
    <t>13.10.1996</t>
  </si>
  <si>
    <t>0223CPIT027</t>
  </si>
  <si>
    <t>KALIGOTA NIHARIKA</t>
  </si>
  <si>
    <t>kaligotaniharika.itesites@gmail.com</t>
  </si>
  <si>
    <t>26.11.2005</t>
  </si>
  <si>
    <t>0223CPIT028</t>
  </si>
  <si>
    <t>KALPANA KODARI</t>
  </si>
  <si>
    <t>kalpanakodari.fullstack@gmail.com</t>
  </si>
  <si>
    <t>18.03.2001</t>
  </si>
  <si>
    <t>0223CPIT029</t>
  </si>
  <si>
    <t>KANCHA AKASH</t>
  </si>
  <si>
    <t>kanchaakash.fullstack@gmail.com</t>
  </si>
  <si>
    <t>18.01.2003</t>
  </si>
  <si>
    <t>0223CPIT030</t>
  </si>
  <si>
    <t>KASTURI SAI MAHESH</t>
  </si>
  <si>
    <t>kasturisaimahesh.fullstack@gmail.com</t>
  </si>
  <si>
    <t>28.02.2006</t>
  </si>
  <si>
    <t>0223CPIT031</t>
  </si>
  <si>
    <t>LOVE TIWARI</t>
  </si>
  <si>
    <t>lovetiwari.fullstack@gmail.com</t>
  </si>
  <si>
    <t>05.08.2001</t>
  </si>
  <si>
    <t>0223CPIT032</t>
  </si>
  <si>
    <t>M. BALAJI</t>
  </si>
  <si>
    <t>mbalaji.itesites@gmail.com</t>
  </si>
  <si>
    <t>29.07.2004</t>
  </si>
  <si>
    <t>0223CPIT033</t>
  </si>
  <si>
    <t>MADHI VAISHNAVI</t>
  </si>
  <si>
    <t>madhivaishnavi.itesites@gmail.com</t>
  </si>
  <si>
    <t>0223CPIT034</t>
  </si>
  <si>
    <t>MANDALOJU NAGALAXMI</t>
  </si>
  <si>
    <t>mandalojunagalaxmi.fullstack@gmail.com</t>
  </si>
  <si>
    <t>15.07.2005</t>
  </si>
  <si>
    <t>0223CPIT035</t>
  </si>
  <si>
    <t>MANIKYALA RAMADEVI</t>
  </si>
  <si>
    <t>manikyalaramadevi.fullstack@gmail.com</t>
  </si>
  <si>
    <t>10.07.2005</t>
  </si>
  <si>
    <t>0223CPIT036</t>
  </si>
  <si>
    <t>MASKA PAVANI</t>
  </si>
  <si>
    <t>maskapavani.itesites@gmail.com</t>
  </si>
  <si>
    <t>04.04.2006</t>
  </si>
  <si>
    <t>0223CPIT037</t>
  </si>
  <si>
    <t>MEGHAGNI MUKHERJEE</t>
  </si>
  <si>
    <t>meghagnimukherjee.fullstack@gmail.com</t>
  </si>
  <si>
    <t>14.09.2005</t>
  </si>
  <si>
    <t>0223CPIT038</t>
  </si>
  <si>
    <t>N LAXMI NARASIMHA</t>
  </si>
  <si>
    <t>nlaxminarasimha.fullstack@gmail.com</t>
  </si>
  <si>
    <t>10.06.2005</t>
  </si>
  <si>
    <t>0223CPIT039</t>
  </si>
  <si>
    <t>NANAPURAJ LAHARIKA</t>
  </si>
  <si>
    <t>nanapurajlaharika.itesites@gmail.com</t>
  </si>
  <si>
    <t>15.04.2003</t>
  </si>
  <si>
    <t>0223CPIT040</t>
  </si>
  <si>
    <t>NARRA VENKATA SAI</t>
  </si>
  <si>
    <t>narravenkatasai.itesites@gmail.com</t>
  </si>
  <si>
    <t>02.10.2002</t>
  </si>
  <si>
    <t>0223CPIT041</t>
  </si>
  <si>
    <t>NAVUDU TEJESH</t>
  </si>
  <si>
    <t>navudutejesh.itesites@gmail.com</t>
  </si>
  <si>
    <t>30.11.2005</t>
  </si>
  <si>
    <t>0223CPIT042</t>
  </si>
  <si>
    <t>PALLEY SHRAVANI</t>
  </si>
  <si>
    <t>palleyshravani.itesites@gmail.com</t>
  </si>
  <si>
    <t>0223CPIT043</t>
  </si>
  <si>
    <t>PAPAKANTI RAJU</t>
  </si>
  <si>
    <t>papakantiraju.fullstack@gmail.com</t>
  </si>
  <si>
    <t>02.10.2001</t>
  </si>
  <si>
    <t>0223CPIT044</t>
  </si>
  <si>
    <t>PRATAPAGIRI NEELAKANTA SASTRY</t>
  </si>
  <si>
    <t>pratapagirineelakantasastry.fullstack@gmail.com</t>
  </si>
  <si>
    <t>26.06.1999</t>
  </si>
  <si>
    <t>0223CPIT045</t>
  </si>
  <si>
    <t>PRAVEEN RAJPOOT</t>
  </si>
  <si>
    <t>praveenrajpoot.fullstack@gmail.com</t>
  </si>
  <si>
    <t>04.06.2004</t>
  </si>
  <si>
    <t>0223CPIT046</t>
  </si>
  <si>
    <t>R. VIGNESH</t>
  </si>
  <si>
    <t>rvignesh.itesites@gmail.com</t>
  </si>
  <si>
    <t>13.10.2004</t>
  </si>
  <si>
    <t>0223CPIT047</t>
  </si>
  <si>
    <t>RACHAMANDUGU AJAYKUMAR</t>
  </si>
  <si>
    <t>rachamanduguajaykumar.fullstack@gmail.com</t>
  </si>
  <si>
    <t>09.09.2004</t>
  </si>
  <si>
    <t>0223CPIT048</t>
  </si>
  <si>
    <t>REVALLI NAGESHWARI</t>
  </si>
  <si>
    <t>revallinageshwari.fullstack@gmail.com</t>
  </si>
  <si>
    <t>10.04.2003</t>
  </si>
  <si>
    <t>0223CPIT049</t>
  </si>
  <si>
    <t>ROHIT REDDY</t>
  </si>
  <si>
    <t>rohitreddy.itesites@gmail.com</t>
  </si>
  <si>
    <t>25.12.2005</t>
  </si>
  <si>
    <t>0223CPIT050</t>
  </si>
  <si>
    <t>RUCHI RANJAN</t>
  </si>
  <si>
    <t>ruchiranjan.fullstack@gmail.com</t>
  </si>
  <si>
    <t>02.02.2005</t>
  </si>
  <si>
    <t>0223CPIT051</t>
  </si>
  <si>
    <t>SHAIK FAHAD</t>
  </si>
  <si>
    <t>shaikfahad.itesites@gmail.com</t>
  </si>
  <si>
    <t>13.09.2004</t>
  </si>
  <si>
    <t>0223CPIT052</t>
  </si>
  <si>
    <t>SHAIK SAMEER AHMED</t>
  </si>
  <si>
    <t>shaiksameerahmed.fullstack@gmail.com</t>
  </si>
  <si>
    <t>26.12.2003</t>
  </si>
  <si>
    <t>0223CPIT053</t>
  </si>
  <si>
    <t>SHEJUL BALAJI RAMESHWAR</t>
  </si>
  <si>
    <t>shejulbalajirameshwar.fullstack@gmail.com</t>
  </si>
  <si>
    <t>23.09.2003</t>
  </si>
  <si>
    <t>0223CPIT054</t>
  </si>
  <si>
    <t>SHOAIB AKHTAR</t>
  </si>
  <si>
    <t>shoaibakhtar.fullstack@gmail.com</t>
  </si>
  <si>
    <t>05.06.2004</t>
  </si>
  <si>
    <t>0223CPIT055</t>
  </si>
  <si>
    <t>SINGAM KRISHNA VENI</t>
  </si>
  <si>
    <t>singamkrishnaveni.fullstack@gmail.com</t>
  </si>
  <si>
    <t>06.09.2004</t>
  </si>
  <si>
    <t>0223CPIT056</t>
  </si>
  <si>
    <t>SINGUDASU PALLAVI</t>
  </si>
  <si>
    <t>singudasupallavi.fullstack@gmail.com</t>
  </si>
  <si>
    <t>28.02.2005</t>
  </si>
  <si>
    <t>0223CPIT057</t>
  </si>
  <si>
    <t>SUBHASHIS PAL</t>
  </si>
  <si>
    <t>subhashispal.itesites@gmail.com</t>
  </si>
  <si>
    <t>01.11.2004</t>
  </si>
  <si>
    <t>0223CPIT058</t>
  </si>
  <si>
    <t>SUJEET KUMAR</t>
  </si>
  <si>
    <t>sujeetkumar.fullstack@gmail.com</t>
  </si>
  <si>
    <t>15.08.2005</t>
  </si>
  <si>
    <t>0223CPIT059</t>
  </si>
  <si>
    <t>SURUCHI RANJAN</t>
  </si>
  <si>
    <t>suruchiranjan.fullstack@gmail.com</t>
  </si>
  <si>
    <t>0223CPIT060</t>
  </si>
  <si>
    <t>SUVENDU KHATUA</t>
  </si>
  <si>
    <t>suvendukhatua.itesites@gmail.com</t>
  </si>
  <si>
    <t>02.03.2004</t>
  </si>
  <si>
    <t>0223CPIT061</t>
  </si>
  <si>
    <t>SYED ABDUL HAKEEM</t>
  </si>
  <si>
    <t>syedabdulhakeem.fullstack@gmail.com</t>
  </si>
  <si>
    <t>17.11.2004</t>
  </si>
  <si>
    <t>0223CPIT062</t>
  </si>
  <si>
    <t>SYED ABDUL HALEEM</t>
  </si>
  <si>
    <t>syedabdulhaleem.fullstack@gmail.com</t>
  </si>
  <si>
    <t>0223CPIT063</t>
  </si>
  <si>
    <t>SYED ADIL</t>
  </si>
  <si>
    <t>syedadil.itesites@gmail.com</t>
  </si>
  <si>
    <t>04.01.2006</t>
  </si>
  <si>
    <t>0223CPIT064</t>
  </si>
  <si>
    <t>VELUPULA SUNIL KUMAR</t>
  </si>
  <si>
    <t>velupulasunilkumar.fullstack@gmail.com</t>
  </si>
  <si>
    <t>11.09.2003</t>
  </si>
  <si>
    <t>0223CPIT065</t>
  </si>
  <si>
    <t>BALA CHARY</t>
  </si>
  <si>
    <t>balachary.itesites@gmail.com</t>
  </si>
  <si>
    <t>03.08.2005</t>
  </si>
  <si>
    <t>0223CPIT066</t>
  </si>
  <si>
    <t>BANDARI SRUJANA</t>
  </si>
  <si>
    <t>bandarisrujana.fullstack@gmail.com</t>
  </si>
  <si>
    <t>24.05.2005</t>
  </si>
  <si>
    <t>0223CPIT067</t>
  </si>
  <si>
    <t>DURGA PRASAD</t>
  </si>
  <si>
    <t>durgaprasad.fullstack@gmail.com</t>
  </si>
  <si>
    <t>03.06.2002</t>
  </si>
  <si>
    <t>0223CPIT068</t>
  </si>
  <si>
    <t>K PAVANI</t>
  </si>
  <si>
    <t>kpavani.fullstack@gmail.com</t>
  </si>
  <si>
    <t>05.09.1998</t>
  </si>
  <si>
    <t>0223CPIT069</t>
  </si>
  <si>
    <t>M KOMAL RAJ</t>
  </si>
  <si>
    <t>mkomalraj.itesites@gmail.com</t>
  </si>
  <si>
    <t>0223CPIT070</t>
  </si>
  <si>
    <t>MEDI SANGEETHA</t>
  </si>
  <si>
    <t>medisangeetha.fullstack@gmail.com</t>
  </si>
  <si>
    <t>0223CPIT071</t>
  </si>
  <si>
    <t>N.PARAMESH</t>
  </si>
  <si>
    <t>nparamesh.fullstack@gmail.com</t>
  </si>
  <si>
    <t>07.06.2004</t>
  </si>
  <si>
    <t>0223CPIT072</t>
  </si>
  <si>
    <t>NAGA CHANDU V</t>
  </si>
  <si>
    <t>nagachanduv.itesites@gmail.com</t>
  </si>
  <si>
    <t>26.05.2002</t>
  </si>
  <si>
    <t>0223CPIT073</t>
  </si>
  <si>
    <t>S SAMEER</t>
  </si>
  <si>
    <t>ssameer.fullstack@gmail.com</t>
  </si>
  <si>
    <t>05.08.2004</t>
  </si>
  <si>
    <t>0223CPIT074</t>
  </si>
  <si>
    <t>SALVADI VENKATESH</t>
  </si>
  <si>
    <t>salvadivenkatesh.itesites@gmail.com</t>
  </si>
  <si>
    <t>04.04.2002</t>
  </si>
  <si>
    <t>0223CPIT075</t>
  </si>
  <si>
    <t>UPPUNUTHALA PURUSHOTHAM</t>
  </si>
  <si>
    <t>uppunuthalapurushotham.itesites@gmail.com</t>
  </si>
  <si>
    <t>22.09.2006</t>
  </si>
  <si>
    <t>0223CPIT076</t>
  </si>
  <si>
    <t xml:space="preserve">VINAY KUMAR </t>
  </si>
  <si>
    <t>vinaykumar.fullstack@gmail.com</t>
  </si>
  <si>
    <t>01.01.2000</t>
  </si>
  <si>
    <t>0223CPIT077</t>
  </si>
  <si>
    <t>YARRA NAVYA SAHITHI</t>
  </si>
  <si>
    <t>yarranavyasahithi.fullstack@gmail.com</t>
  </si>
  <si>
    <t>10.10.2002</t>
  </si>
  <si>
    <t>0223CPIT078</t>
  </si>
  <si>
    <t>M. Aravind</t>
  </si>
  <si>
    <t>maravind.fullstack@gmail.com</t>
  </si>
  <si>
    <t>0223CPIT079</t>
  </si>
  <si>
    <t>Surya Kiran</t>
  </si>
  <si>
    <t>suryakiran.fullstack@gmail.com</t>
  </si>
  <si>
    <t>0223CPIT080</t>
  </si>
  <si>
    <t>B Aravind</t>
  </si>
  <si>
    <t>baravind.fullstack@gmail.com</t>
  </si>
  <si>
    <t>Total</t>
  </si>
  <si>
    <t>Prasent</t>
  </si>
  <si>
    <t>Absent</t>
  </si>
  <si>
    <t>Late</t>
  </si>
  <si>
    <t>Row and column</t>
  </si>
  <si>
    <t>Row</t>
  </si>
  <si>
    <t>Row And Column</t>
  </si>
  <si>
    <t>The Enrollment Number is present in What row</t>
  </si>
  <si>
    <t>S.no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</si>
</sst>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7">
    <xf numFmtId="0" fontId="0" fillId="0" borderId="0" xfId="0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3" fillId="0" borderId="3" xfId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5" fillId="0" borderId="3" xfId="0" applyNumberFormat="1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14" fontId="5" fillId="0" borderId="3" xfId="0" applyNumberFormat="1" applyFont="1" applyBorder="1" applyAlignment="1">
      <alignment horizontal="left" vertical="center"/>
    </xf>
    <xf numFmtId="0" fontId="1" fillId="5" borderId="3" xfId="0" applyFont="1" applyFill="1" applyBorder="1" applyAlignment="1">
      <alignment horizontal="left" vertical="center"/>
    </xf>
    <xf numFmtId="0" fontId="0" fillId="0" borderId="3" xfId="0" applyBorder="1"/>
    <xf numFmtId="0" fontId="0" fillId="0" borderId="0" xfId="0" applyAlignment="1"/>
    <xf numFmtId="0" fontId="0" fillId="0" borderId="3" xfId="0" applyBorder="1" applyAlignment="1"/>
    <xf numFmtId="0" fontId="0" fillId="0" borderId="0" xfId="0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4" fillId="3" borderId="3" xfId="0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" fillId="0" borderId="3" xfId="1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4" fillId="3" borderId="3" xfId="0" applyFont="1" applyFill="1" applyBorder="1" applyAlignment="1">
      <alignment horizontal="left"/>
    </xf>
    <xf numFmtId="0" fontId="5" fillId="0" borderId="3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Alignment="1">
      <alignment horizontal="left"/>
    </xf>
    <xf numFmtId="0" fontId="0" fillId="4" borderId="3" xfId="0" applyFill="1" applyBorder="1"/>
    <xf numFmtId="0" fontId="0" fillId="0" borderId="0" xfId="0" applyAlignment="1">
      <alignment horizontal="center" vertical="center"/>
    </xf>
  </cellXfs>
  <cellStyles count="2">
    <cellStyle name="Hyperlink" xfId="1" builtinId="8"/>
    <cellStyle name="Normal" xfId="0" builtinId="0"/>
  </cellStyles>
  <dxfs count="9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ksantoshi.fullstack@gmail.com" TargetMode="External"/><Relationship Id="rId21" Type="http://schemas.openxmlformats.org/officeDocument/2006/relationships/hyperlink" Target="mailto:garapatigayathri.itesites@gmail.com" TargetMode="External"/><Relationship Id="rId42" Type="http://schemas.openxmlformats.org/officeDocument/2006/relationships/hyperlink" Target="mailto:palleyshravani.itesites@gmail.com" TargetMode="External"/><Relationship Id="rId47" Type="http://schemas.openxmlformats.org/officeDocument/2006/relationships/hyperlink" Target="mailto:rachamanduguajaykumar.fullstack@gmail.com" TargetMode="External"/><Relationship Id="rId63" Type="http://schemas.openxmlformats.org/officeDocument/2006/relationships/hyperlink" Target="mailto:syedadil.itesites@gmail.com" TargetMode="External"/><Relationship Id="rId68" Type="http://schemas.openxmlformats.org/officeDocument/2006/relationships/hyperlink" Target="mailto:kpavani.fullstack@gmail.com" TargetMode="External"/><Relationship Id="rId16" Type="http://schemas.openxmlformats.org/officeDocument/2006/relationships/hyperlink" Target="mailto:eerammagariraviteja.fullstack@gmail.com" TargetMode="External"/><Relationship Id="rId11" Type="http://schemas.openxmlformats.org/officeDocument/2006/relationships/hyperlink" Target="mailto:chandrasampathkumar.fullstack@gmail.com" TargetMode="External"/><Relationship Id="rId32" Type="http://schemas.openxmlformats.org/officeDocument/2006/relationships/hyperlink" Target="mailto:mbalaji.itesites@gmail.com" TargetMode="External"/><Relationship Id="rId37" Type="http://schemas.openxmlformats.org/officeDocument/2006/relationships/hyperlink" Target="mailto:meghagnimukherjee.fullstack@gmail.com" TargetMode="External"/><Relationship Id="rId53" Type="http://schemas.openxmlformats.org/officeDocument/2006/relationships/hyperlink" Target="mailto:shejulbalajirameshwar.fullstack@gmail.com" TargetMode="External"/><Relationship Id="rId58" Type="http://schemas.openxmlformats.org/officeDocument/2006/relationships/hyperlink" Target="mailto:sujeetkumar.fullstack@gmail.com" TargetMode="External"/><Relationship Id="rId74" Type="http://schemas.openxmlformats.org/officeDocument/2006/relationships/hyperlink" Target="mailto:salvadivenkatesh.itesites@gmail.com" TargetMode="External"/><Relationship Id="rId79" Type="http://schemas.openxmlformats.org/officeDocument/2006/relationships/hyperlink" Target="mailto:suryakiran.fullstack@gmail.com" TargetMode="External"/><Relationship Id="rId5" Type="http://schemas.openxmlformats.org/officeDocument/2006/relationships/hyperlink" Target="mailto:ayushmansinghbaghel.fullstack@gmail.com" TargetMode="External"/><Relationship Id="rId61" Type="http://schemas.openxmlformats.org/officeDocument/2006/relationships/hyperlink" Target="mailto:syedabdulhakeem.fullstack@gmail.com" TargetMode="External"/><Relationship Id="rId19" Type="http://schemas.openxmlformats.org/officeDocument/2006/relationships/hyperlink" Target="mailto:gaikwadsrushti.fullstack@gmail.com" TargetMode="External"/><Relationship Id="rId14" Type="http://schemas.openxmlformats.org/officeDocument/2006/relationships/hyperlink" Target="mailto:devalladeepak.itesites@gmail.com" TargetMode="External"/><Relationship Id="rId22" Type="http://schemas.openxmlformats.org/officeDocument/2006/relationships/hyperlink" Target="mailto:golisailokesh.fullstack@gmail.com" TargetMode="External"/><Relationship Id="rId27" Type="http://schemas.openxmlformats.org/officeDocument/2006/relationships/hyperlink" Target="mailto:kaligotaniharika.itesites@gmail.com" TargetMode="External"/><Relationship Id="rId30" Type="http://schemas.openxmlformats.org/officeDocument/2006/relationships/hyperlink" Target="mailto:kasturisaimahesh.fullstack@gmail.com" TargetMode="External"/><Relationship Id="rId35" Type="http://schemas.openxmlformats.org/officeDocument/2006/relationships/hyperlink" Target="mailto:manikyalaramadevi.fullstack@gmail.com" TargetMode="External"/><Relationship Id="rId43" Type="http://schemas.openxmlformats.org/officeDocument/2006/relationships/hyperlink" Target="mailto:papakantiraju.fullstack@gmail.com" TargetMode="External"/><Relationship Id="rId48" Type="http://schemas.openxmlformats.org/officeDocument/2006/relationships/hyperlink" Target="mailto:revallinageshwari.fullstack@gmail.com" TargetMode="External"/><Relationship Id="rId56" Type="http://schemas.openxmlformats.org/officeDocument/2006/relationships/hyperlink" Target="mailto:singudasupallavi.fullstack@gmail.com" TargetMode="External"/><Relationship Id="rId64" Type="http://schemas.openxmlformats.org/officeDocument/2006/relationships/hyperlink" Target="mailto:velupulasunilkumar.fullstack@gmail.com" TargetMode="External"/><Relationship Id="rId69" Type="http://schemas.openxmlformats.org/officeDocument/2006/relationships/hyperlink" Target="mailto:mkomalraj.itesites@gmail.com" TargetMode="External"/><Relationship Id="rId77" Type="http://schemas.openxmlformats.org/officeDocument/2006/relationships/hyperlink" Target="mailto:yarranavyasahithi.fullstack@gmail.com" TargetMode="External"/><Relationship Id="rId8" Type="http://schemas.openxmlformats.org/officeDocument/2006/relationships/hyperlink" Target="mailto:bairiprathyush.fullstack@gmail.com" TargetMode="External"/><Relationship Id="rId51" Type="http://schemas.openxmlformats.org/officeDocument/2006/relationships/hyperlink" Target="mailto:shaikfahad.itesites@gmail.com" TargetMode="External"/><Relationship Id="rId72" Type="http://schemas.openxmlformats.org/officeDocument/2006/relationships/hyperlink" Target="mailto:nagachanduv.itesites@gmail.com" TargetMode="External"/><Relationship Id="rId80" Type="http://schemas.openxmlformats.org/officeDocument/2006/relationships/hyperlink" Target="mailto:baravind.fullstack@gmail.com" TargetMode="External"/><Relationship Id="rId3" Type="http://schemas.openxmlformats.org/officeDocument/2006/relationships/hyperlink" Target="mailto:adulalikitha.fullstack@gmail.com" TargetMode="External"/><Relationship Id="rId12" Type="http://schemas.openxmlformats.org/officeDocument/2006/relationships/hyperlink" Target="mailto:chinnakotlasuryateja.fullstack@gmail.com" TargetMode="External"/><Relationship Id="rId17" Type="http://schemas.openxmlformats.org/officeDocument/2006/relationships/hyperlink" Target="mailto:ellendulasupriya.itesites@gmail.com" TargetMode="External"/><Relationship Id="rId25" Type="http://schemas.openxmlformats.org/officeDocument/2006/relationships/hyperlink" Target="mailto:jadhavyogeshdharamsigh.fullstack@gmail.com" TargetMode="External"/><Relationship Id="rId33" Type="http://schemas.openxmlformats.org/officeDocument/2006/relationships/hyperlink" Target="mailto:madhivaishnavi.itesites@gmail.com" TargetMode="External"/><Relationship Id="rId38" Type="http://schemas.openxmlformats.org/officeDocument/2006/relationships/hyperlink" Target="mailto:nlaxminarasimha.fullstack@gmail.com" TargetMode="External"/><Relationship Id="rId46" Type="http://schemas.openxmlformats.org/officeDocument/2006/relationships/hyperlink" Target="mailto:rvignesh.itesites@gmail.com" TargetMode="External"/><Relationship Id="rId59" Type="http://schemas.openxmlformats.org/officeDocument/2006/relationships/hyperlink" Target="mailto:suruchiranjan.fullstack@gmail.com" TargetMode="External"/><Relationship Id="rId67" Type="http://schemas.openxmlformats.org/officeDocument/2006/relationships/hyperlink" Target="mailto:durgaprasad.fullstack@gmail.com" TargetMode="External"/><Relationship Id="rId20" Type="http://schemas.openxmlformats.org/officeDocument/2006/relationships/hyperlink" Target="mailto:gajjelagiri.itesites@gmail.com" TargetMode="External"/><Relationship Id="rId41" Type="http://schemas.openxmlformats.org/officeDocument/2006/relationships/hyperlink" Target="mailto:navudutejesh.itesites@gmail.com" TargetMode="External"/><Relationship Id="rId54" Type="http://schemas.openxmlformats.org/officeDocument/2006/relationships/hyperlink" Target="mailto:shoaibakhtar.fullstack@gmail.com" TargetMode="External"/><Relationship Id="rId62" Type="http://schemas.openxmlformats.org/officeDocument/2006/relationships/hyperlink" Target="mailto:syedabdulhaleem.fullstack@gmail.com" TargetMode="External"/><Relationship Id="rId70" Type="http://schemas.openxmlformats.org/officeDocument/2006/relationships/hyperlink" Target="mailto:medisangeetha.fullstack@gmail.com" TargetMode="External"/><Relationship Id="rId75" Type="http://schemas.openxmlformats.org/officeDocument/2006/relationships/hyperlink" Target="mailto:uppunuthalapurushotham.itesites@gmail.com" TargetMode="External"/><Relationship Id="rId1" Type="http://schemas.openxmlformats.org/officeDocument/2006/relationships/hyperlink" Target="mailto:akashrajpoot.fullstack@gmail.com" TargetMode="External"/><Relationship Id="rId6" Type="http://schemas.openxmlformats.org/officeDocument/2006/relationships/hyperlink" Target="mailto:bsandeeproy.itesites@gmail.com" TargetMode="External"/><Relationship Id="rId15" Type="http://schemas.openxmlformats.org/officeDocument/2006/relationships/hyperlink" Target="mailto:devkathekomal.fullstack@gmail.com" TargetMode="External"/><Relationship Id="rId23" Type="http://schemas.openxmlformats.org/officeDocument/2006/relationships/hyperlink" Target="mailto:gurramyamini.fullstack@gmail.com" TargetMode="External"/><Relationship Id="rId28" Type="http://schemas.openxmlformats.org/officeDocument/2006/relationships/hyperlink" Target="mailto:kalpanakodari.fullstack@gmail.com" TargetMode="External"/><Relationship Id="rId36" Type="http://schemas.openxmlformats.org/officeDocument/2006/relationships/hyperlink" Target="mailto:maskapavani.itesites@gmail.com" TargetMode="External"/><Relationship Id="rId49" Type="http://schemas.openxmlformats.org/officeDocument/2006/relationships/hyperlink" Target="mailto:rohitreddy.itesites@gmail.com" TargetMode="External"/><Relationship Id="rId57" Type="http://schemas.openxmlformats.org/officeDocument/2006/relationships/hyperlink" Target="mailto:subhashispal.itesites@gmail.com" TargetMode="External"/><Relationship Id="rId10" Type="http://schemas.openxmlformats.org/officeDocument/2006/relationships/hyperlink" Target="mailto:burrivinitha.fullstack@gmail.com" TargetMode="External"/><Relationship Id="rId31" Type="http://schemas.openxmlformats.org/officeDocument/2006/relationships/hyperlink" Target="mailto:lovetiwari.fullstack@gmail.com" TargetMode="External"/><Relationship Id="rId44" Type="http://schemas.openxmlformats.org/officeDocument/2006/relationships/hyperlink" Target="mailto:pratapagirineelakantasastry.fullstack@gmail.com" TargetMode="External"/><Relationship Id="rId52" Type="http://schemas.openxmlformats.org/officeDocument/2006/relationships/hyperlink" Target="mailto:shaiksameerahmed.fullstack@gmail.com" TargetMode="External"/><Relationship Id="rId60" Type="http://schemas.openxmlformats.org/officeDocument/2006/relationships/hyperlink" Target="mailto:suvendukhatua.itesites@gmail.com" TargetMode="External"/><Relationship Id="rId65" Type="http://schemas.openxmlformats.org/officeDocument/2006/relationships/hyperlink" Target="mailto:balachary.itesites@gmail.com" TargetMode="External"/><Relationship Id="rId73" Type="http://schemas.openxmlformats.org/officeDocument/2006/relationships/hyperlink" Target="mailto:ssameer.fullstack@gmail.com" TargetMode="External"/><Relationship Id="rId78" Type="http://schemas.openxmlformats.org/officeDocument/2006/relationships/hyperlink" Target="mailto:maravind.fullstack@gmail.com" TargetMode="External"/><Relationship Id="rId81" Type="http://schemas.openxmlformats.org/officeDocument/2006/relationships/printerSettings" Target="../printerSettings/printerSettings1.bin"/><Relationship Id="rId4" Type="http://schemas.openxmlformats.org/officeDocument/2006/relationships/hyperlink" Target="mailto:alokkumar.fullstack@gmail.com" TargetMode="External"/><Relationship Id="rId9" Type="http://schemas.openxmlformats.org/officeDocument/2006/relationships/hyperlink" Target="mailto:bandapalligangabhavani.itesites@gmail.com" TargetMode="External"/><Relationship Id="rId13" Type="http://schemas.openxmlformats.org/officeDocument/2006/relationships/hyperlink" Target="mailto:dasarivimala.fullstack@gmail.com" TargetMode="External"/><Relationship Id="rId18" Type="http://schemas.openxmlformats.org/officeDocument/2006/relationships/hyperlink" Target="mailto:gadiyaramvarsha.fullstack@gmail.com" TargetMode="External"/><Relationship Id="rId39" Type="http://schemas.openxmlformats.org/officeDocument/2006/relationships/hyperlink" Target="mailto:nanapurajlaharika.itesites@gmail.com" TargetMode="External"/><Relationship Id="rId34" Type="http://schemas.openxmlformats.org/officeDocument/2006/relationships/hyperlink" Target="mailto:mandalojunagalaxmi.fullstack@gmail.com" TargetMode="External"/><Relationship Id="rId50" Type="http://schemas.openxmlformats.org/officeDocument/2006/relationships/hyperlink" Target="mailto:ruchiranjan.fullstack@gmail.com" TargetMode="External"/><Relationship Id="rId55" Type="http://schemas.openxmlformats.org/officeDocument/2006/relationships/hyperlink" Target="mailto:singamkrishnaveni.fullstack@gmail.com" TargetMode="External"/><Relationship Id="rId76" Type="http://schemas.openxmlformats.org/officeDocument/2006/relationships/hyperlink" Target="mailto:vinaykumar.fullstack@gmail.com" TargetMode="External"/><Relationship Id="rId7" Type="http://schemas.openxmlformats.org/officeDocument/2006/relationships/hyperlink" Target="mailto:bsrinivasulu.fullstack@gmail.com" TargetMode="External"/><Relationship Id="rId71" Type="http://schemas.openxmlformats.org/officeDocument/2006/relationships/hyperlink" Target="mailto:nparamesh.fullstack@gmail.com" TargetMode="External"/><Relationship Id="rId2" Type="http://schemas.openxmlformats.org/officeDocument/2006/relationships/hyperlink" Target="mailto:nikitha.itesites@gmail.com" TargetMode="External"/><Relationship Id="rId29" Type="http://schemas.openxmlformats.org/officeDocument/2006/relationships/hyperlink" Target="mailto:kanchaakash.fullstack@gmail.com" TargetMode="External"/><Relationship Id="rId24" Type="http://schemas.openxmlformats.org/officeDocument/2006/relationships/hyperlink" Target="mailto:hariomrai.fullstack@gmail.com" TargetMode="External"/><Relationship Id="rId40" Type="http://schemas.openxmlformats.org/officeDocument/2006/relationships/hyperlink" Target="mailto:narravenkatasai.itesites@gmail.com" TargetMode="External"/><Relationship Id="rId45" Type="http://schemas.openxmlformats.org/officeDocument/2006/relationships/hyperlink" Target="mailto:praveenrajpoot.fullstack@gmail.com" TargetMode="External"/><Relationship Id="rId66" Type="http://schemas.openxmlformats.org/officeDocument/2006/relationships/hyperlink" Target="mailto:bandarisrujana.fullstack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mailto:ksantoshi.fullstack@gmail.com" TargetMode="External"/><Relationship Id="rId21" Type="http://schemas.openxmlformats.org/officeDocument/2006/relationships/hyperlink" Target="mailto:garapatigayathri.itesites@gmail.com" TargetMode="External"/><Relationship Id="rId42" Type="http://schemas.openxmlformats.org/officeDocument/2006/relationships/hyperlink" Target="mailto:palleyshravani.itesites@gmail.com" TargetMode="External"/><Relationship Id="rId47" Type="http://schemas.openxmlformats.org/officeDocument/2006/relationships/hyperlink" Target="mailto:rachamanduguajaykumar.fullstack@gmail.com" TargetMode="External"/><Relationship Id="rId63" Type="http://schemas.openxmlformats.org/officeDocument/2006/relationships/hyperlink" Target="mailto:syedadil.itesites@gmail.com" TargetMode="External"/><Relationship Id="rId68" Type="http://schemas.openxmlformats.org/officeDocument/2006/relationships/hyperlink" Target="mailto:kpavani.fullstack@gmail.com" TargetMode="External"/><Relationship Id="rId16" Type="http://schemas.openxmlformats.org/officeDocument/2006/relationships/hyperlink" Target="mailto:eerammagariraviteja.fullstack@gmail.com" TargetMode="External"/><Relationship Id="rId11" Type="http://schemas.openxmlformats.org/officeDocument/2006/relationships/hyperlink" Target="mailto:chandrasampathkumar.fullstack@gmail.com" TargetMode="External"/><Relationship Id="rId32" Type="http://schemas.openxmlformats.org/officeDocument/2006/relationships/hyperlink" Target="mailto:mbalaji.itesites@gmail.com" TargetMode="External"/><Relationship Id="rId37" Type="http://schemas.openxmlformats.org/officeDocument/2006/relationships/hyperlink" Target="mailto:meghagnimukherjee.fullstack@gmail.com" TargetMode="External"/><Relationship Id="rId53" Type="http://schemas.openxmlformats.org/officeDocument/2006/relationships/hyperlink" Target="mailto:shejulbalajirameshwar.fullstack@gmail.com" TargetMode="External"/><Relationship Id="rId58" Type="http://schemas.openxmlformats.org/officeDocument/2006/relationships/hyperlink" Target="mailto:sujeetkumar.fullstack@gmail.com" TargetMode="External"/><Relationship Id="rId74" Type="http://schemas.openxmlformats.org/officeDocument/2006/relationships/hyperlink" Target="mailto:salvadivenkatesh.itesites@gmail.com" TargetMode="External"/><Relationship Id="rId79" Type="http://schemas.openxmlformats.org/officeDocument/2006/relationships/hyperlink" Target="mailto:suryakiran.fullstack@gmail.com" TargetMode="External"/><Relationship Id="rId5" Type="http://schemas.openxmlformats.org/officeDocument/2006/relationships/hyperlink" Target="mailto:ayushmansinghbaghel.fullstack@gmail.com" TargetMode="External"/><Relationship Id="rId61" Type="http://schemas.openxmlformats.org/officeDocument/2006/relationships/hyperlink" Target="mailto:syedabdulhakeem.fullstack@gmail.com" TargetMode="External"/><Relationship Id="rId19" Type="http://schemas.openxmlformats.org/officeDocument/2006/relationships/hyperlink" Target="mailto:gaikwadsrushti.fullstack@gmail.com" TargetMode="External"/><Relationship Id="rId14" Type="http://schemas.openxmlformats.org/officeDocument/2006/relationships/hyperlink" Target="mailto:devalladeepak.itesites@gmail.com" TargetMode="External"/><Relationship Id="rId22" Type="http://schemas.openxmlformats.org/officeDocument/2006/relationships/hyperlink" Target="mailto:golisailokesh.fullstack@gmail.com" TargetMode="External"/><Relationship Id="rId27" Type="http://schemas.openxmlformats.org/officeDocument/2006/relationships/hyperlink" Target="mailto:kaligotaniharika.itesites@gmail.com" TargetMode="External"/><Relationship Id="rId30" Type="http://schemas.openxmlformats.org/officeDocument/2006/relationships/hyperlink" Target="mailto:kasturisaimahesh.fullstack@gmail.com" TargetMode="External"/><Relationship Id="rId35" Type="http://schemas.openxmlformats.org/officeDocument/2006/relationships/hyperlink" Target="mailto:manikyalaramadevi.fullstack@gmail.com" TargetMode="External"/><Relationship Id="rId43" Type="http://schemas.openxmlformats.org/officeDocument/2006/relationships/hyperlink" Target="mailto:papakantiraju.fullstack@gmail.com" TargetMode="External"/><Relationship Id="rId48" Type="http://schemas.openxmlformats.org/officeDocument/2006/relationships/hyperlink" Target="mailto:revallinageshwari.fullstack@gmail.com" TargetMode="External"/><Relationship Id="rId56" Type="http://schemas.openxmlformats.org/officeDocument/2006/relationships/hyperlink" Target="mailto:singudasupallavi.fullstack@gmail.com" TargetMode="External"/><Relationship Id="rId64" Type="http://schemas.openxmlformats.org/officeDocument/2006/relationships/hyperlink" Target="mailto:velupulasunilkumar.fullstack@gmail.com" TargetMode="External"/><Relationship Id="rId69" Type="http://schemas.openxmlformats.org/officeDocument/2006/relationships/hyperlink" Target="mailto:mkomalraj.itesites@gmail.com" TargetMode="External"/><Relationship Id="rId77" Type="http://schemas.openxmlformats.org/officeDocument/2006/relationships/hyperlink" Target="mailto:yarranavyasahithi.fullstack@gmail.com" TargetMode="External"/><Relationship Id="rId8" Type="http://schemas.openxmlformats.org/officeDocument/2006/relationships/hyperlink" Target="mailto:bairiprathyush.fullstack@gmail.com" TargetMode="External"/><Relationship Id="rId51" Type="http://schemas.openxmlformats.org/officeDocument/2006/relationships/hyperlink" Target="mailto:shaikfahad.itesites@gmail.com" TargetMode="External"/><Relationship Id="rId72" Type="http://schemas.openxmlformats.org/officeDocument/2006/relationships/hyperlink" Target="mailto:nagachanduv.itesites@gmail.com" TargetMode="External"/><Relationship Id="rId80" Type="http://schemas.openxmlformats.org/officeDocument/2006/relationships/hyperlink" Target="mailto:baravind.fullstack@gmail.com" TargetMode="External"/><Relationship Id="rId3" Type="http://schemas.openxmlformats.org/officeDocument/2006/relationships/hyperlink" Target="mailto:adulalikitha.fullstack@gmail.com" TargetMode="External"/><Relationship Id="rId12" Type="http://schemas.openxmlformats.org/officeDocument/2006/relationships/hyperlink" Target="mailto:chinnakotlasuryateja.fullstack@gmail.com" TargetMode="External"/><Relationship Id="rId17" Type="http://schemas.openxmlformats.org/officeDocument/2006/relationships/hyperlink" Target="mailto:ellendulasupriya.itesites@gmail.com" TargetMode="External"/><Relationship Id="rId25" Type="http://schemas.openxmlformats.org/officeDocument/2006/relationships/hyperlink" Target="mailto:jadhavyogeshdharamsigh.fullstack@gmail.com" TargetMode="External"/><Relationship Id="rId33" Type="http://schemas.openxmlformats.org/officeDocument/2006/relationships/hyperlink" Target="mailto:madhivaishnavi.itesites@gmail.com" TargetMode="External"/><Relationship Id="rId38" Type="http://schemas.openxmlformats.org/officeDocument/2006/relationships/hyperlink" Target="mailto:nlaxminarasimha.fullstack@gmail.com" TargetMode="External"/><Relationship Id="rId46" Type="http://schemas.openxmlformats.org/officeDocument/2006/relationships/hyperlink" Target="mailto:rvignesh.itesites@gmail.com" TargetMode="External"/><Relationship Id="rId59" Type="http://schemas.openxmlformats.org/officeDocument/2006/relationships/hyperlink" Target="mailto:suruchiranjan.fullstack@gmail.com" TargetMode="External"/><Relationship Id="rId67" Type="http://schemas.openxmlformats.org/officeDocument/2006/relationships/hyperlink" Target="mailto:durgaprasad.fullstack@gmail.com" TargetMode="External"/><Relationship Id="rId20" Type="http://schemas.openxmlformats.org/officeDocument/2006/relationships/hyperlink" Target="mailto:gajjelagiri.itesites@gmail.com" TargetMode="External"/><Relationship Id="rId41" Type="http://schemas.openxmlformats.org/officeDocument/2006/relationships/hyperlink" Target="mailto:navudutejesh.itesites@gmail.com" TargetMode="External"/><Relationship Id="rId54" Type="http://schemas.openxmlformats.org/officeDocument/2006/relationships/hyperlink" Target="mailto:shoaibakhtar.fullstack@gmail.com" TargetMode="External"/><Relationship Id="rId62" Type="http://schemas.openxmlformats.org/officeDocument/2006/relationships/hyperlink" Target="mailto:syedabdulhaleem.fullstack@gmail.com" TargetMode="External"/><Relationship Id="rId70" Type="http://schemas.openxmlformats.org/officeDocument/2006/relationships/hyperlink" Target="mailto:medisangeetha.fullstack@gmail.com" TargetMode="External"/><Relationship Id="rId75" Type="http://schemas.openxmlformats.org/officeDocument/2006/relationships/hyperlink" Target="mailto:uppunuthalapurushotham.itesites@gmail.com" TargetMode="External"/><Relationship Id="rId1" Type="http://schemas.openxmlformats.org/officeDocument/2006/relationships/hyperlink" Target="mailto:akashrajpoot.fullstack@gmail.com" TargetMode="External"/><Relationship Id="rId6" Type="http://schemas.openxmlformats.org/officeDocument/2006/relationships/hyperlink" Target="mailto:bsandeeproy.itesites@gmail.com" TargetMode="External"/><Relationship Id="rId15" Type="http://schemas.openxmlformats.org/officeDocument/2006/relationships/hyperlink" Target="mailto:devkathekomal.fullstack@gmail.com" TargetMode="External"/><Relationship Id="rId23" Type="http://schemas.openxmlformats.org/officeDocument/2006/relationships/hyperlink" Target="mailto:gurramyamini.fullstack@gmail.com" TargetMode="External"/><Relationship Id="rId28" Type="http://schemas.openxmlformats.org/officeDocument/2006/relationships/hyperlink" Target="mailto:kalpanakodari.fullstack@gmail.com" TargetMode="External"/><Relationship Id="rId36" Type="http://schemas.openxmlformats.org/officeDocument/2006/relationships/hyperlink" Target="mailto:maskapavani.itesites@gmail.com" TargetMode="External"/><Relationship Id="rId49" Type="http://schemas.openxmlformats.org/officeDocument/2006/relationships/hyperlink" Target="mailto:rohitreddy.itesites@gmail.com" TargetMode="External"/><Relationship Id="rId57" Type="http://schemas.openxmlformats.org/officeDocument/2006/relationships/hyperlink" Target="mailto:subhashispal.itesites@gmail.com" TargetMode="External"/><Relationship Id="rId10" Type="http://schemas.openxmlformats.org/officeDocument/2006/relationships/hyperlink" Target="mailto:burrivinitha.fullstack@gmail.com" TargetMode="External"/><Relationship Id="rId31" Type="http://schemas.openxmlformats.org/officeDocument/2006/relationships/hyperlink" Target="mailto:lovetiwari.fullstack@gmail.com" TargetMode="External"/><Relationship Id="rId44" Type="http://schemas.openxmlformats.org/officeDocument/2006/relationships/hyperlink" Target="mailto:pratapagirineelakantasastry.fullstack@gmail.com" TargetMode="External"/><Relationship Id="rId52" Type="http://schemas.openxmlformats.org/officeDocument/2006/relationships/hyperlink" Target="mailto:shaiksameerahmed.fullstack@gmail.com" TargetMode="External"/><Relationship Id="rId60" Type="http://schemas.openxmlformats.org/officeDocument/2006/relationships/hyperlink" Target="mailto:suvendukhatua.itesites@gmail.com" TargetMode="External"/><Relationship Id="rId65" Type="http://schemas.openxmlformats.org/officeDocument/2006/relationships/hyperlink" Target="mailto:balachary.itesites@gmail.com" TargetMode="External"/><Relationship Id="rId73" Type="http://schemas.openxmlformats.org/officeDocument/2006/relationships/hyperlink" Target="mailto:ssameer.fullstack@gmail.com" TargetMode="External"/><Relationship Id="rId78" Type="http://schemas.openxmlformats.org/officeDocument/2006/relationships/hyperlink" Target="mailto:maravind.fullstack@gmail.com" TargetMode="External"/><Relationship Id="rId81" Type="http://schemas.openxmlformats.org/officeDocument/2006/relationships/printerSettings" Target="../printerSettings/printerSettings3.bin"/><Relationship Id="rId4" Type="http://schemas.openxmlformats.org/officeDocument/2006/relationships/hyperlink" Target="mailto:alokkumar.fullstack@gmail.com" TargetMode="External"/><Relationship Id="rId9" Type="http://schemas.openxmlformats.org/officeDocument/2006/relationships/hyperlink" Target="mailto:bandapalligangabhavani.itesites@gmail.com" TargetMode="External"/><Relationship Id="rId13" Type="http://schemas.openxmlformats.org/officeDocument/2006/relationships/hyperlink" Target="mailto:dasarivimala.fullstack@gmail.com" TargetMode="External"/><Relationship Id="rId18" Type="http://schemas.openxmlformats.org/officeDocument/2006/relationships/hyperlink" Target="mailto:gadiyaramvarsha.fullstack@gmail.com" TargetMode="External"/><Relationship Id="rId39" Type="http://schemas.openxmlformats.org/officeDocument/2006/relationships/hyperlink" Target="mailto:nanapurajlaharika.itesites@gmail.com" TargetMode="External"/><Relationship Id="rId34" Type="http://schemas.openxmlformats.org/officeDocument/2006/relationships/hyperlink" Target="mailto:mandalojunagalaxmi.fullstack@gmail.com" TargetMode="External"/><Relationship Id="rId50" Type="http://schemas.openxmlformats.org/officeDocument/2006/relationships/hyperlink" Target="mailto:ruchiranjan.fullstack@gmail.com" TargetMode="External"/><Relationship Id="rId55" Type="http://schemas.openxmlformats.org/officeDocument/2006/relationships/hyperlink" Target="mailto:singamkrishnaveni.fullstack@gmail.com" TargetMode="External"/><Relationship Id="rId76" Type="http://schemas.openxmlformats.org/officeDocument/2006/relationships/hyperlink" Target="mailto:vinaykumar.fullstack@gmail.com" TargetMode="External"/><Relationship Id="rId7" Type="http://schemas.openxmlformats.org/officeDocument/2006/relationships/hyperlink" Target="mailto:bsrinivasulu.fullstack@gmail.com" TargetMode="External"/><Relationship Id="rId71" Type="http://schemas.openxmlformats.org/officeDocument/2006/relationships/hyperlink" Target="mailto:nparamesh.fullstack@gmail.com" TargetMode="External"/><Relationship Id="rId2" Type="http://schemas.openxmlformats.org/officeDocument/2006/relationships/hyperlink" Target="mailto:nikitha.itesites@gmail.com" TargetMode="External"/><Relationship Id="rId29" Type="http://schemas.openxmlformats.org/officeDocument/2006/relationships/hyperlink" Target="mailto:kanchaakash.fullstack@gmail.com" TargetMode="External"/><Relationship Id="rId24" Type="http://schemas.openxmlformats.org/officeDocument/2006/relationships/hyperlink" Target="mailto:hariomrai.fullstack@gmail.com" TargetMode="External"/><Relationship Id="rId40" Type="http://schemas.openxmlformats.org/officeDocument/2006/relationships/hyperlink" Target="mailto:narravenkatasai.itesites@gmail.com" TargetMode="External"/><Relationship Id="rId45" Type="http://schemas.openxmlformats.org/officeDocument/2006/relationships/hyperlink" Target="mailto:praveenrajpoot.fullstack@gmail.com" TargetMode="External"/><Relationship Id="rId66" Type="http://schemas.openxmlformats.org/officeDocument/2006/relationships/hyperlink" Target="mailto:bandarisrujana.fullstack@gmail.com" TargetMode="Externa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mailto:ksantoshi.fullstack@gmail.com" TargetMode="External"/><Relationship Id="rId21" Type="http://schemas.openxmlformats.org/officeDocument/2006/relationships/hyperlink" Target="mailto:garapatigayathri.itesites@gmail.com" TargetMode="External"/><Relationship Id="rId42" Type="http://schemas.openxmlformats.org/officeDocument/2006/relationships/hyperlink" Target="mailto:palleyshravani.itesites@gmail.com" TargetMode="External"/><Relationship Id="rId47" Type="http://schemas.openxmlformats.org/officeDocument/2006/relationships/hyperlink" Target="mailto:rachamanduguajaykumar.fullstack@gmail.com" TargetMode="External"/><Relationship Id="rId63" Type="http://schemas.openxmlformats.org/officeDocument/2006/relationships/hyperlink" Target="mailto:syedadil.itesites@gmail.com" TargetMode="External"/><Relationship Id="rId68" Type="http://schemas.openxmlformats.org/officeDocument/2006/relationships/hyperlink" Target="mailto:kpavani.fullstack@gmail.com" TargetMode="External"/><Relationship Id="rId84" Type="http://schemas.openxmlformats.org/officeDocument/2006/relationships/hyperlink" Target="mailto:alokkumar.fullstack@gmail.com" TargetMode="External"/><Relationship Id="rId16" Type="http://schemas.openxmlformats.org/officeDocument/2006/relationships/hyperlink" Target="mailto:eerammagariraviteja.fullstack@gmail.com" TargetMode="External"/><Relationship Id="rId11" Type="http://schemas.openxmlformats.org/officeDocument/2006/relationships/hyperlink" Target="mailto:chandrasampathkumar.fullstack@gmail.com" TargetMode="External"/><Relationship Id="rId32" Type="http://schemas.openxmlformats.org/officeDocument/2006/relationships/hyperlink" Target="mailto:mbalaji.itesites@gmail.com" TargetMode="External"/><Relationship Id="rId37" Type="http://schemas.openxmlformats.org/officeDocument/2006/relationships/hyperlink" Target="mailto:meghagnimukherjee.fullstack@gmail.com" TargetMode="External"/><Relationship Id="rId53" Type="http://schemas.openxmlformats.org/officeDocument/2006/relationships/hyperlink" Target="mailto:shejulbalajirameshwar.fullstack@gmail.com" TargetMode="External"/><Relationship Id="rId58" Type="http://schemas.openxmlformats.org/officeDocument/2006/relationships/hyperlink" Target="mailto:sujeetkumar.fullstack@gmail.com" TargetMode="External"/><Relationship Id="rId74" Type="http://schemas.openxmlformats.org/officeDocument/2006/relationships/hyperlink" Target="mailto:salvadivenkatesh.itesites@gmail.com" TargetMode="External"/><Relationship Id="rId79" Type="http://schemas.openxmlformats.org/officeDocument/2006/relationships/hyperlink" Target="mailto:suryakiran.fullstack@gmail.com" TargetMode="External"/><Relationship Id="rId5" Type="http://schemas.openxmlformats.org/officeDocument/2006/relationships/hyperlink" Target="mailto:ayushmansinghbaghel.fullstack@gmail.com" TargetMode="External"/><Relationship Id="rId19" Type="http://schemas.openxmlformats.org/officeDocument/2006/relationships/hyperlink" Target="mailto:gaikwadsrushti.fullstack@gmail.com" TargetMode="External"/><Relationship Id="rId14" Type="http://schemas.openxmlformats.org/officeDocument/2006/relationships/hyperlink" Target="mailto:devalladeepak.itesites@gmail.com" TargetMode="External"/><Relationship Id="rId22" Type="http://schemas.openxmlformats.org/officeDocument/2006/relationships/hyperlink" Target="mailto:golisailokesh.fullstack@gmail.com" TargetMode="External"/><Relationship Id="rId27" Type="http://schemas.openxmlformats.org/officeDocument/2006/relationships/hyperlink" Target="mailto:kaligotaniharika.itesites@gmail.com" TargetMode="External"/><Relationship Id="rId30" Type="http://schemas.openxmlformats.org/officeDocument/2006/relationships/hyperlink" Target="mailto:kasturisaimahesh.fullstack@gmail.com" TargetMode="External"/><Relationship Id="rId35" Type="http://schemas.openxmlformats.org/officeDocument/2006/relationships/hyperlink" Target="mailto:manikyalaramadevi.fullstack@gmail.com" TargetMode="External"/><Relationship Id="rId43" Type="http://schemas.openxmlformats.org/officeDocument/2006/relationships/hyperlink" Target="mailto:papakantiraju.fullstack@gmail.com" TargetMode="External"/><Relationship Id="rId48" Type="http://schemas.openxmlformats.org/officeDocument/2006/relationships/hyperlink" Target="mailto:revallinageshwari.fullstack@gmail.com" TargetMode="External"/><Relationship Id="rId56" Type="http://schemas.openxmlformats.org/officeDocument/2006/relationships/hyperlink" Target="mailto:singudasupallavi.fullstack@gmail.com" TargetMode="External"/><Relationship Id="rId64" Type="http://schemas.openxmlformats.org/officeDocument/2006/relationships/hyperlink" Target="mailto:velupulasunilkumar.fullstack@gmail.com" TargetMode="External"/><Relationship Id="rId69" Type="http://schemas.openxmlformats.org/officeDocument/2006/relationships/hyperlink" Target="mailto:mkomalraj.itesites@gmail.com" TargetMode="External"/><Relationship Id="rId77" Type="http://schemas.openxmlformats.org/officeDocument/2006/relationships/hyperlink" Target="mailto:yarranavyasahithi.fullstack@gmail.com" TargetMode="External"/><Relationship Id="rId8" Type="http://schemas.openxmlformats.org/officeDocument/2006/relationships/hyperlink" Target="mailto:bairiprathyush.fullstack@gmail.com" TargetMode="External"/><Relationship Id="rId51" Type="http://schemas.openxmlformats.org/officeDocument/2006/relationships/hyperlink" Target="mailto:shaikfahad.itesites@gmail.com" TargetMode="External"/><Relationship Id="rId72" Type="http://schemas.openxmlformats.org/officeDocument/2006/relationships/hyperlink" Target="mailto:nagachanduv.itesites@gmail.com" TargetMode="External"/><Relationship Id="rId80" Type="http://schemas.openxmlformats.org/officeDocument/2006/relationships/hyperlink" Target="mailto:baravind.fullstack@gmail.com" TargetMode="External"/><Relationship Id="rId85" Type="http://schemas.openxmlformats.org/officeDocument/2006/relationships/printerSettings" Target="../printerSettings/printerSettings4.bin"/><Relationship Id="rId3" Type="http://schemas.openxmlformats.org/officeDocument/2006/relationships/hyperlink" Target="mailto:adulalikitha.fullstack@gmail.com" TargetMode="External"/><Relationship Id="rId12" Type="http://schemas.openxmlformats.org/officeDocument/2006/relationships/hyperlink" Target="mailto:chinnakotlasuryateja.fullstack@gmail.com" TargetMode="External"/><Relationship Id="rId17" Type="http://schemas.openxmlformats.org/officeDocument/2006/relationships/hyperlink" Target="mailto:ellendulasupriya.itesites@gmail.com" TargetMode="External"/><Relationship Id="rId25" Type="http://schemas.openxmlformats.org/officeDocument/2006/relationships/hyperlink" Target="mailto:jadhavyogeshdharamsigh.fullstack@gmail.com" TargetMode="External"/><Relationship Id="rId33" Type="http://schemas.openxmlformats.org/officeDocument/2006/relationships/hyperlink" Target="mailto:madhivaishnavi.itesites@gmail.com" TargetMode="External"/><Relationship Id="rId38" Type="http://schemas.openxmlformats.org/officeDocument/2006/relationships/hyperlink" Target="mailto:nlaxminarasimha.fullstack@gmail.com" TargetMode="External"/><Relationship Id="rId46" Type="http://schemas.openxmlformats.org/officeDocument/2006/relationships/hyperlink" Target="mailto:rvignesh.itesites@gmail.com" TargetMode="External"/><Relationship Id="rId59" Type="http://schemas.openxmlformats.org/officeDocument/2006/relationships/hyperlink" Target="mailto:suruchiranjan.fullstack@gmail.com" TargetMode="External"/><Relationship Id="rId67" Type="http://schemas.openxmlformats.org/officeDocument/2006/relationships/hyperlink" Target="mailto:durgaprasad.fullstack@gmail.com" TargetMode="External"/><Relationship Id="rId20" Type="http://schemas.openxmlformats.org/officeDocument/2006/relationships/hyperlink" Target="mailto:gajjelagiri.itesites@gmail.com" TargetMode="External"/><Relationship Id="rId41" Type="http://schemas.openxmlformats.org/officeDocument/2006/relationships/hyperlink" Target="mailto:navudutejesh.itesites@gmail.com" TargetMode="External"/><Relationship Id="rId54" Type="http://schemas.openxmlformats.org/officeDocument/2006/relationships/hyperlink" Target="mailto:shoaibakhtar.fullstack@gmail.com" TargetMode="External"/><Relationship Id="rId62" Type="http://schemas.openxmlformats.org/officeDocument/2006/relationships/hyperlink" Target="mailto:syedabdulhaleem.fullstack@gmail.com" TargetMode="External"/><Relationship Id="rId70" Type="http://schemas.openxmlformats.org/officeDocument/2006/relationships/hyperlink" Target="mailto:medisangeetha.fullstack@gmail.com" TargetMode="External"/><Relationship Id="rId75" Type="http://schemas.openxmlformats.org/officeDocument/2006/relationships/hyperlink" Target="mailto:uppunuthalapurushotham.itesites@gmail.com" TargetMode="External"/><Relationship Id="rId83" Type="http://schemas.openxmlformats.org/officeDocument/2006/relationships/hyperlink" Target="mailto:adulalikitha.fullstack@gmail.com" TargetMode="External"/><Relationship Id="rId1" Type="http://schemas.openxmlformats.org/officeDocument/2006/relationships/hyperlink" Target="mailto:akashrajpoot.fullstack@gmail.com" TargetMode="External"/><Relationship Id="rId6" Type="http://schemas.openxmlformats.org/officeDocument/2006/relationships/hyperlink" Target="mailto:bsandeeproy.itesites@gmail.com" TargetMode="External"/><Relationship Id="rId15" Type="http://schemas.openxmlformats.org/officeDocument/2006/relationships/hyperlink" Target="mailto:devkathekomal.fullstack@gmail.com" TargetMode="External"/><Relationship Id="rId23" Type="http://schemas.openxmlformats.org/officeDocument/2006/relationships/hyperlink" Target="mailto:gurramyamini.fullstack@gmail.com" TargetMode="External"/><Relationship Id="rId28" Type="http://schemas.openxmlformats.org/officeDocument/2006/relationships/hyperlink" Target="mailto:kalpanakodari.fullstack@gmail.com" TargetMode="External"/><Relationship Id="rId36" Type="http://schemas.openxmlformats.org/officeDocument/2006/relationships/hyperlink" Target="mailto:maskapavani.itesites@gmail.com" TargetMode="External"/><Relationship Id="rId49" Type="http://schemas.openxmlformats.org/officeDocument/2006/relationships/hyperlink" Target="mailto:rohitreddy.itesites@gmail.com" TargetMode="External"/><Relationship Id="rId57" Type="http://schemas.openxmlformats.org/officeDocument/2006/relationships/hyperlink" Target="mailto:subhashispal.itesites@gmail.com" TargetMode="External"/><Relationship Id="rId10" Type="http://schemas.openxmlformats.org/officeDocument/2006/relationships/hyperlink" Target="mailto:burrivinitha.fullstack@gmail.com" TargetMode="External"/><Relationship Id="rId31" Type="http://schemas.openxmlformats.org/officeDocument/2006/relationships/hyperlink" Target="mailto:lovetiwari.fullstack@gmail.com" TargetMode="External"/><Relationship Id="rId44" Type="http://schemas.openxmlformats.org/officeDocument/2006/relationships/hyperlink" Target="mailto:pratapagirineelakantasastry.fullstack@gmail.com" TargetMode="External"/><Relationship Id="rId52" Type="http://schemas.openxmlformats.org/officeDocument/2006/relationships/hyperlink" Target="mailto:shaiksameerahmed.fullstack@gmail.com" TargetMode="External"/><Relationship Id="rId60" Type="http://schemas.openxmlformats.org/officeDocument/2006/relationships/hyperlink" Target="mailto:suvendukhatua.itesites@gmail.com" TargetMode="External"/><Relationship Id="rId65" Type="http://schemas.openxmlformats.org/officeDocument/2006/relationships/hyperlink" Target="mailto:balachary.itesites@gmail.com" TargetMode="External"/><Relationship Id="rId73" Type="http://schemas.openxmlformats.org/officeDocument/2006/relationships/hyperlink" Target="mailto:ssameer.fullstack@gmail.com" TargetMode="External"/><Relationship Id="rId78" Type="http://schemas.openxmlformats.org/officeDocument/2006/relationships/hyperlink" Target="mailto:maravind.fullstack@gmail.com" TargetMode="External"/><Relationship Id="rId81" Type="http://schemas.openxmlformats.org/officeDocument/2006/relationships/hyperlink" Target="mailto:akashrajpoot.fullstack@gmail.com" TargetMode="External"/><Relationship Id="rId4" Type="http://schemas.openxmlformats.org/officeDocument/2006/relationships/hyperlink" Target="mailto:alokkumar.fullstack@gmail.com" TargetMode="External"/><Relationship Id="rId9" Type="http://schemas.openxmlformats.org/officeDocument/2006/relationships/hyperlink" Target="mailto:bandapalligangabhavani.itesites@gmail.com" TargetMode="External"/><Relationship Id="rId13" Type="http://schemas.openxmlformats.org/officeDocument/2006/relationships/hyperlink" Target="mailto:dasarivimala.fullstack@gmail.com" TargetMode="External"/><Relationship Id="rId18" Type="http://schemas.openxmlformats.org/officeDocument/2006/relationships/hyperlink" Target="mailto:gadiyaramvarsha.fullstack@gmail.com" TargetMode="External"/><Relationship Id="rId39" Type="http://schemas.openxmlformats.org/officeDocument/2006/relationships/hyperlink" Target="mailto:nanapurajlaharika.itesites@gmail.com" TargetMode="External"/><Relationship Id="rId34" Type="http://schemas.openxmlformats.org/officeDocument/2006/relationships/hyperlink" Target="mailto:mandalojunagalaxmi.fullstack@gmail.com" TargetMode="External"/><Relationship Id="rId50" Type="http://schemas.openxmlformats.org/officeDocument/2006/relationships/hyperlink" Target="mailto:ruchiranjan.fullstack@gmail.com" TargetMode="External"/><Relationship Id="rId55" Type="http://schemas.openxmlformats.org/officeDocument/2006/relationships/hyperlink" Target="mailto:singamkrishnaveni.fullstack@gmail.com" TargetMode="External"/><Relationship Id="rId76" Type="http://schemas.openxmlformats.org/officeDocument/2006/relationships/hyperlink" Target="mailto:vinaykumar.fullstack@gmail.com" TargetMode="External"/><Relationship Id="rId7" Type="http://schemas.openxmlformats.org/officeDocument/2006/relationships/hyperlink" Target="mailto:bsrinivasulu.fullstack@gmail.com" TargetMode="External"/><Relationship Id="rId71" Type="http://schemas.openxmlformats.org/officeDocument/2006/relationships/hyperlink" Target="mailto:nparamesh.fullstack@gmail.com" TargetMode="External"/><Relationship Id="rId2" Type="http://schemas.openxmlformats.org/officeDocument/2006/relationships/hyperlink" Target="mailto:nikitha.itesites@gmail.com" TargetMode="External"/><Relationship Id="rId29" Type="http://schemas.openxmlformats.org/officeDocument/2006/relationships/hyperlink" Target="mailto:kanchaakash.fullstack@gmail.com" TargetMode="External"/><Relationship Id="rId24" Type="http://schemas.openxmlformats.org/officeDocument/2006/relationships/hyperlink" Target="mailto:hariomrai.fullstack@gmail.com" TargetMode="External"/><Relationship Id="rId40" Type="http://schemas.openxmlformats.org/officeDocument/2006/relationships/hyperlink" Target="mailto:narravenkatasai.itesites@gmail.com" TargetMode="External"/><Relationship Id="rId45" Type="http://schemas.openxmlformats.org/officeDocument/2006/relationships/hyperlink" Target="mailto:praveenrajpoot.fullstack@gmail.com" TargetMode="External"/><Relationship Id="rId66" Type="http://schemas.openxmlformats.org/officeDocument/2006/relationships/hyperlink" Target="mailto:bandarisrujana.fullstack@gmail.com" TargetMode="External"/><Relationship Id="rId61" Type="http://schemas.openxmlformats.org/officeDocument/2006/relationships/hyperlink" Target="mailto:syedabdulhakeem.fullstack@gmail.com" TargetMode="External"/><Relationship Id="rId82" Type="http://schemas.openxmlformats.org/officeDocument/2006/relationships/hyperlink" Target="mailto:nikitha.itesites@gmail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6" Type="http://schemas.openxmlformats.org/officeDocument/2006/relationships/hyperlink" Target="mailto:ksantoshi.fullstack@gmail.com" TargetMode="External"/><Relationship Id="rId21" Type="http://schemas.openxmlformats.org/officeDocument/2006/relationships/hyperlink" Target="mailto:garapatigayathri.itesites@gmail.com" TargetMode="External"/><Relationship Id="rId42" Type="http://schemas.openxmlformats.org/officeDocument/2006/relationships/hyperlink" Target="mailto:palleyshravani.itesites@gmail.com" TargetMode="External"/><Relationship Id="rId47" Type="http://schemas.openxmlformats.org/officeDocument/2006/relationships/hyperlink" Target="mailto:rachamanduguajaykumar.fullstack@gmail.com" TargetMode="External"/><Relationship Id="rId63" Type="http://schemas.openxmlformats.org/officeDocument/2006/relationships/hyperlink" Target="mailto:syedadil.itesites@gmail.com" TargetMode="External"/><Relationship Id="rId68" Type="http://schemas.openxmlformats.org/officeDocument/2006/relationships/hyperlink" Target="mailto:kpavani.fullstack@gmail.com" TargetMode="External"/><Relationship Id="rId16" Type="http://schemas.openxmlformats.org/officeDocument/2006/relationships/hyperlink" Target="mailto:eerammagariraviteja.fullstack@gmail.com" TargetMode="External"/><Relationship Id="rId11" Type="http://schemas.openxmlformats.org/officeDocument/2006/relationships/hyperlink" Target="mailto:chandrasampathkumar.fullstack@gmail.com" TargetMode="External"/><Relationship Id="rId32" Type="http://schemas.openxmlformats.org/officeDocument/2006/relationships/hyperlink" Target="mailto:mbalaji.itesites@gmail.com" TargetMode="External"/><Relationship Id="rId37" Type="http://schemas.openxmlformats.org/officeDocument/2006/relationships/hyperlink" Target="mailto:meghagnimukherjee.fullstack@gmail.com" TargetMode="External"/><Relationship Id="rId53" Type="http://schemas.openxmlformats.org/officeDocument/2006/relationships/hyperlink" Target="mailto:shejulbalajirameshwar.fullstack@gmail.com" TargetMode="External"/><Relationship Id="rId58" Type="http://schemas.openxmlformats.org/officeDocument/2006/relationships/hyperlink" Target="mailto:sujeetkumar.fullstack@gmail.com" TargetMode="External"/><Relationship Id="rId74" Type="http://schemas.openxmlformats.org/officeDocument/2006/relationships/hyperlink" Target="mailto:salvadivenkatesh.itesites@gmail.com" TargetMode="External"/><Relationship Id="rId79" Type="http://schemas.openxmlformats.org/officeDocument/2006/relationships/hyperlink" Target="mailto:suryakiran.fullstack@gmail.com" TargetMode="External"/><Relationship Id="rId5" Type="http://schemas.openxmlformats.org/officeDocument/2006/relationships/hyperlink" Target="mailto:ayushmansinghbaghel.fullstack@gmail.com" TargetMode="External"/><Relationship Id="rId61" Type="http://schemas.openxmlformats.org/officeDocument/2006/relationships/hyperlink" Target="mailto:syedabdulhakeem.fullstack@gmail.com" TargetMode="External"/><Relationship Id="rId19" Type="http://schemas.openxmlformats.org/officeDocument/2006/relationships/hyperlink" Target="mailto:gaikwadsrushti.fullstack@gmail.com" TargetMode="External"/><Relationship Id="rId14" Type="http://schemas.openxmlformats.org/officeDocument/2006/relationships/hyperlink" Target="mailto:devalladeepak.itesites@gmail.com" TargetMode="External"/><Relationship Id="rId22" Type="http://schemas.openxmlformats.org/officeDocument/2006/relationships/hyperlink" Target="mailto:golisailokesh.fullstack@gmail.com" TargetMode="External"/><Relationship Id="rId27" Type="http://schemas.openxmlformats.org/officeDocument/2006/relationships/hyperlink" Target="mailto:kaligotaniharika.itesites@gmail.com" TargetMode="External"/><Relationship Id="rId30" Type="http://schemas.openxmlformats.org/officeDocument/2006/relationships/hyperlink" Target="mailto:kasturisaimahesh.fullstack@gmail.com" TargetMode="External"/><Relationship Id="rId35" Type="http://schemas.openxmlformats.org/officeDocument/2006/relationships/hyperlink" Target="mailto:manikyalaramadevi.fullstack@gmail.com" TargetMode="External"/><Relationship Id="rId43" Type="http://schemas.openxmlformats.org/officeDocument/2006/relationships/hyperlink" Target="mailto:papakantiraju.fullstack@gmail.com" TargetMode="External"/><Relationship Id="rId48" Type="http://schemas.openxmlformats.org/officeDocument/2006/relationships/hyperlink" Target="mailto:revallinageshwari.fullstack@gmail.com" TargetMode="External"/><Relationship Id="rId56" Type="http://schemas.openxmlformats.org/officeDocument/2006/relationships/hyperlink" Target="mailto:singudasupallavi.fullstack@gmail.com" TargetMode="External"/><Relationship Id="rId64" Type="http://schemas.openxmlformats.org/officeDocument/2006/relationships/hyperlink" Target="mailto:velupulasunilkumar.fullstack@gmail.com" TargetMode="External"/><Relationship Id="rId69" Type="http://schemas.openxmlformats.org/officeDocument/2006/relationships/hyperlink" Target="mailto:mkomalraj.itesites@gmail.com" TargetMode="External"/><Relationship Id="rId77" Type="http://schemas.openxmlformats.org/officeDocument/2006/relationships/hyperlink" Target="mailto:yarranavyasahithi.fullstack@gmail.com" TargetMode="External"/><Relationship Id="rId8" Type="http://schemas.openxmlformats.org/officeDocument/2006/relationships/hyperlink" Target="mailto:bairiprathyush.fullstack@gmail.com" TargetMode="External"/><Relationship Id="rId51" Type="http://schemas.openxmlformats.org/officeDocument/2006/relationships/hyperlink" Target="mailto:shaikfahad.itesites@gmail.com" TargetMode="External"/><Relationship Id="rId72" Type="http://schemas.openxmlformats.org/officeDocument/2006/relationships/hyperlink" Target="mailto:nagachanduv.itesites@gmail.com" TargetMode="External"/><Relationship Id="rId80" Type="http://schemas.openxmlformats.org/officeDocument/2006/relationships/hyperlink" Target="mailto:baravind.fullstack@gmail.com" TargetMode="External"/><Relationship Id="rId3" Type="http://schemas.openxmlformats.org/officeDocument/2006/relationships/hyperlink" Target="mailto:adulalikitha.fullstack@gmail.com" TargetMode="External"/><Relationship Id="rId12" Type="http://schemas.openxmlformats.org/officeDocument/2006/relationships/hyperlink" Target="mailto:chinnakotlasuryateja.fullstack@gmail.com" TargetMode="External"/><Relationship Id="rId17" Type="http://schemas.openxmlformats.org/officeDocument/2006/relationships/hyperlink" Target="mailto:ellendulasupriya.itesites@gmail.com" TargetMode="External"/><Relationship Id="rId25" Type="http://schemas.openxmlformats.org/officeDocument/2006/relationships/hyperlink" Target="mailto:jadhavyogeshdharamsigh.fullstack@gmail.com" TargetMode="External"/><Relationship Id="rId33" Type="http://schemas.openxmlformats.org/officeDocument/2006/relationships/hyperlink" Target="mailto:madhivaishnavi.itesites@gmail.com" TargetMode="External"/><Relationship Id="rId38" Type="http://schemas.openxmlformats.org/officeDocument/2006/relationships/hyperlink" Target="mailto:nlaxminarasimha.fullstack@gmail.com" TargetMode="External"/><Relationship Id="rId46" Type="http://schemas.openxmlformats.org/officeDocument/2006/relationships/hyperlink" Target="mailto:rvignesh.itesites@gmail.com" TargetMode="External"/><Relationship Id="rId59" Type="http://schemas.openxmlformats.org/officeDocument/2006/relationships/hyperlink" Target="mailto:suruchiranjan.fullstack@gmail.com" TargetMode="External"/><Relationship Id="rId67" Type="http://schemas.openxmlformats.org/officeDocument/2006/relationships/hyperlink" Target="mailto:durgaprasad.fullstack@gmail.com" TargetMode="External"/><Relationship Id="rId20" Type="http://schemas.openxmlformats.org/officeDocument/2006/relationships/hyperlink" Target="mailto:gajjelagiri.itesites@gmail.com" TargetMode="External"/><Relationship Id="rId41" Type="http://schemas.openxmlformats.org/officeDocument/2006/relationships/hyperlink" Target="mailto:navudutejesh.itesites@gmail.com" TargetMode="External"/><Relationship Id="rId54" Type="http://schemas.openxmlformats.org/officeDocument/2006/relationships/hyperlink" Target="mailto:shoaibakhtar.fullstack@gmail.com" TargetMode="External"/><Relationship Id="rId62" Type="http://schemas.openxmlformats.org/officeDocument/2006/relationships/hyperlink" Target="mailto:syedabdulhaleem.fullstack@gmail.com" TargetMode="External"/><Relationship Id="rId70" Type="http://schemas.openxmlformats.org/officeDocument/2006/relationships/hyperlink" Target="mailto:medisangeetha.fullstack@gmail.com" TargetMode="External"/><Relationship Id="rId75" Type="http://schemas.openxmlformats.org/officeDocument/2006/relationships/hyperlink" Target="mailto:uppunuthalapurushotham.itesites@gmail.com" TargetMode="External"/><Relationship Id="rId1" Type="http://schemas.openxmlformats.org/officeDocument/2006/relationships/hyperlink" Target="mailto:akashrajpoot.fullstack@gmail.com" TargetMode="External"/><Relationship Id="rId6" Type="http://schemas.openxmlformats.org/officeDocument/2006/relationships/hyperlink" Target="mailto:bsandeeproy.itesites@gmail.com" TargetMode="External"/><Relationship Id="rId15" Type="http://schemas.openxmlformats.org/officeDocument/2006/relationships/hyperlink" Target="mailto:devkathekomal.fullstack@gmail.com" TargetMode="External"/><Relationship Id="rId23" Type="http://schemas.openxmlformats.org/officeDocument/2006/relationships/hyperlink" Target="mailto:gurramyamini.fullstack@gmail.com" TargetMode="External"/><Relationship Id="rId28" Type="http://schemas.openxmlformats.org/officeDocument/2006/relationships/hyperlink" Target="mailto:kalpanakodari.fullstack@gmail.com" TargetMode="External"/><Relationship Id="rId36" Type="http://schemas.openxmlformats.org/officeDocument/2006/relationships/hyperlink" Target="mailto:maskapavani.itesites@gmail.com" TargetMode="External"/><Relationship Id="rId49" Type="http://schemas.openxmlformats.org/officeDocument/2006/relationships/hyperlink" Target="mailto:rohitreddy.itesites@gmail.com" TargetMode="External"/><Relationship Id="rId57" Type="http://schemas.openxmlformats.org/officeDocument/2006/relationships/hyperlink" Target="mailto:subhashispal.itesites@gmail.com" TargetMode="External"/><Relationship Id="rId10" Type="http://schemas.openxmlformats.org/officeDocument/2006/relationships/hyperlink" Target="mailto:burrivinitha.fullstack@gmail.com" TargetMode="External"/><Relationship Id="rId31" Type="http://schemas.openxmlformats.org/officeDocument/2006/relationships/hyperlink" Target="mailto:lovetiwari.fullstack@gmail.com" TargetMode="External"/><Relationship Id="rId44" Type="http://schemas.openxmlformats.org/officeDocument/2006/relationships/hyperlink" Target="mailto:pratapagirineelakantasastry.fullstack@gmail.com" TargetMode="External"/><Relationship Id="rId52" Type="http://schemas.openxmlformats.org/officeDocument/2006/relationships/hyperlink" Target="mailto:shaiksameerahmed.fullstack@gmail.com" TargetMode="External"/><Relationship Id="rId60" Type="http://schemas.openxmlformats.org/officeDocument/2006/relationships/hyperlink" Target="mailto:suvendukhatua.itesites@gmail.com" TargetMode="External"/><Relationship Id="rId65" Type="http://schemas.openxmlformats.org/officeDocument/2006/relationships/hyperlink" Target="mailto:balachary.itesites@gmail.com" TargetMode="External"/><Relationship Id="rId73" Type="http://schemas.openxmlformats.org/officeDocument/2006/relationships/hyperlink" Target="mailto:ssameer.fullstack@gmail.com" TargetMode="External"/><Relationship Id="rId78" Type="http://schemas.openxmlformats.org/officeDocument/2006/relationships/hyperlink" Target="mailto:maravind.fullstack@gmail.com" TargetMode="External"/><Relationship Id="rId81" Type="http://schemas.openxmlformats.org/officeDocument/2006/relationships/printerSettings" Target="../printerSettings/printerSettings6.bin"/><Relationship Id="rId4" Type="http://schemas.openxmlformats.org/officeDocument/2006/relationships/hyperlink" Target="mailto:alokkumar.fullstack@gmail.com" TargetMode="External"/><Relationship Id="rId9" Type="http://schemas.openxmlformats.org/officeDocument/2006/relationships/hyperlink" Target="mailto:bandapalligangabhavani.itesites@gmail.com" TargetMode="External"/><Relationship Id="rId13" Type="http://schemas.openxmlformats.org/officeDocument/2006/relationships/hyperlink" Target="mailto:dasarivimala.fullstack@gmail.com" TargetMode="External"/><Relationship Id="rId18" Type="http://schemas.openxmlformats.org/officeDocument/2006/relationships/hyperlink" Target="mailto:gadiyaramvarsha.fullstack@gmail.com" TargetMode="External"/><Relationship Id="rId39" Type="http://schemas.openxmlformats.org/officeDocument/2006/relationships/hyperlink" Target="mailto:nanapurajlaharika.itesites@gmail.com" TargetMode="External"/><Relationship Id="rId34" Type="http://schemas.openxmlformats.org/officeDocument/2006/relationships/hyperlink" Target="mailto:mandalojunagalaxmi.fullstack@gmail.com" TargetMode="External"/><Relationship Id="rId50" Type="http://schemas.openxmlformats.org/officeDocument/2006/relationships/hyperlink" Target="mailto:ruchiranjan.fullstack@gmail.com" TargetMode="External"/><Relationship Id="rId55" Type="http://schemas.openxmlformats.org/officeDocument/2006/relationships/hyperlink" Target="mailto:singamkrishnaveni.fullstack@gmail.com" TargetMode="External"/><Relationship Id="rId76" Type="http://schemas.openxmlformats.org/officeDocument/2006/relationships/hyperlink" Target="mailto:vinaykumar.fullstack@gmail.com" TargetMode="External"/><Relationship Id="rId7" Type="http://schemas.openxmlformats.org/officeDocument/2006/relationships/hyperlink" Target="mailto:bsrinivasulu.fullstack@gmail.com" TargetMode="External"/><Relationship Id="rId71" Type="http://schemas.openxmlformats.org/officeDocument/2006/relationships/hyperlink" Target="mailto:nparamesh.fullstack@gmail.com" TargetMode="External"/><Relationship Id="rId2" Type="http://schemas.openxmlformats.org/officeDocument/2006/relationships/hyperlink" Target="mailto:nikitha.itesites@gmail.com" TargetMode="External"/><Relationship Id="rId29" Type="http://schemas.openxmlformats.org/officeDocument/2006/relationships/hyperlink" Target="mailto:kanchaakash.fullstack@gmail.com" TargetMode="External"/><Relationship Id="rId24" Type="http://schemas.openxmlformats.org/officeDocument/2006/relationships/hyperlink" Target="mailto:hariomrai.fullstack@gmail.com" TargetMode="External"/><Relationship Id="rId40" Type="http://schemas.openxmlformats.org/officeDocument/2006/relationships/hyperlink" Target="mailto:narravenkatasai.itesites@gmail.com" TargetMode="External"/><Relationship Id="rId45" Type="http://schemas.openxmlformats.org/officeDocument/2006/relationships/hyperlink" Target="mailto:praveenrajpoot.fullstack@gmail.com" TargetMode="External"/><Relationship Id="rId66" Type="http://schemas.openxmlformats.org/officeDocument/2006/relationships/hyperlink" Target="mailto:bandarisrujana.fullstack@gmail.com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48439-FCBF-4A50-B1C7-42DEDF174157}">
  <dimension ref="A1:AI86"/>
  <sheetViews>
    <sheetView topLeftCell="A62" zoomScale="86" workbookViewId="0">
      <selection activeCell="C2" sqref="C2:I83"/>
    </sheetView>
  </sheetViews>
  <sheetFormatPr defaultRowHeight="14.5" x14ac:dyDescent="0.35"/>
  <cols>
    <col min="1" max="1" width="5" style="19" bestFit="1" customWidth="1"/>
    <col min="2" max="2" width="7.08984375" style="19" bestFit="1" customWidth="1"/>
    <col min="3" max="3" width="18.90625" style="19" bestFit="1" customWidth="1"/>
    <col min="4" max="4" width="30.26953125" style="19" bestFit="1" customWidth="1"/>
    <col min="5" max="5" width="13.453125" style="19" bestFit="1" customWidth="1"/>
    <col min="6" max="6" width="14.36328125" style="19" customWidth="1"/>
    <col min="7" max="7" width="42.453125" style="19" bestFit="1" customWidth="1"/>
    <col min="8" max="8" width="7.54296875" style="19" bestFit="1" customWidth="1"/>
    <col min="9" max="9" width="30.26953125" style="19" bestFit="1" customWidth="1"/>
    <col min="10" max="10" width="17.36328125" style="19" bestFit="1" customWidth="1"/>
    <col min="11" max="11" width="10.6328125" style="19" bestFit="1" customWidth="1"/>
    <col min="12" max="12" width="7.26953125" style="19" bestFit="1" customWidth="1"/>
    <col min="13" max="13" width="4.7265625" style="19" bestFit="1" customWidth="1"/>
    <col min="14" max="14" width="3.90625" style="19" bestFit="1" customWidth="1"/>
    <col min="15" max="15" width="4.7265625" style="19" bestFit="1" customWidth="1"/>
    <col min="16" max="16" width="4" style="19" bestFit="1" customWidth="1"/>
    <col min="17" max="17" width="2.90625" style="19" bestFit="1" customWidth="1"/>
    <col min="18" max="18" width="4.7265625" style="19" bestFit="1" customWidth="1"/>
    <col min="19" max="19" width="3.90625" style="19" bestFit="1" customWidth="1"/>
    <col min="20" max="20" width="4.7265625" style="19" bestFit="1" customWidth="1"/>
    <col min="21" max="21" width="4" style="19" bestFit="1" customWidth="1"/>
    <col min="22" max="22" width="2.90625" style="19" bestFit="1" customWidth="1"/>
    <col min="23" max="23" width="4.7265625" style="19" bestFit="1" customWidth="1"/>
    <col min="24" max="24" width="3.90625" style="19" bestFit="1" customWidth="1"/>
    <col min="25" max="25" width="4.7265625" style="19" bestFit="1" customWidth="1"/>
    <col min="26" max="26" width="4" style="19" bestFit="1" customWidth="1"/>
    <col min="27" max="27" width="2.90625" style="19" bestFit="1" customWidth="1"/>
    <col min="28" max="28" width="4.7265625" style="19" bestFit="1" customWidth="1"/>
    <col min="29" max="29" width="3.90625" style="19" bestFit="1" customWidth="1"/>
    <col min="30" max="30" width="4.7265625" style="19" bestFit="1" customWidth="1"/>
    <col min="31" max="31" width="4" style="19" bestFit="1" customWidth="1"/>
    <col min="32" max="32" width="2.90625" style="19" bestFit="1" customWidth="1"/>
    <col min="33" max="33" width="4.7265625" style="19" bestFit="1" customWidth="1"/>
    <col min="34" max="34" width="3.90625" style="19" bestFit="1" customWidth="1"/>
    <col min="35" max="35" width="4.7265625" style="19" bestFit="1" customWidth="1"/>
    <col min="36" max="16384" width="8.7265625" style="19"/>
  </cols>
  <sheetData>
    <row r="1" spans="1:35" x14ac:dyDescent="0.35">
      <c r="A1" s="1"/>
      <c r="B1" s="2"/>
      <c r="C1" s="2">
        <v>1</v>
      </c>
      <c r="D1" s="2">
        <v>2</v>
      </c>
      <c r="E1" s="2">
        <v>3</v>
      </c>
      <c r="F1" s="2">
        <v>4</v>
      </c>
      <c r="G1" s="3"/>
      <c r="H1" s="3"/>
      <c r="I1" s="3"/>
      <c r="J1" s="2"/>
      <c r="K1" s="3"/>
      <c r="L1" s="3"/>
      <c r="M1" s="4" t="s">
        <v>0</v>
      </c>
      <c r="N1" s="4" t="s">
        <v>1</v>
      </c>
      <c r="O1" s="4" t="s">
        <v>2</v>
      </c>
      <c r="P1" s="4" t="s">
        <v>3</v>
      </c>
      <c r="Q1" s="4" t="s">
        <v>4</v>
      </c>
      <c r="R1" s="4" t="s">
        <v>0</v>
      </c>
      <c r="S1" s="4" t="s">
        <v>1</v>
      </c>
      <c r="T1" s="4" t="s">
        <v>2</v>
      </c>
      <c r="U1" s="4" t="s">
        <v>3</v>
      </c>
      <c r="V1" s="4" t="s">
        <v>4</v>
      </c>
      <c r="W1" s="4" t="s">
        <v>0</v>
      </c>
      <c r="X1" s="4" t="s">
        <v>1</v>
      </c>
      <c r="Y1" s="4" t="s">
        <v>2</v>
      </c>
      <c r="Z1" s="4" t="s">
        <v>3</v>
      </c>
      <c r="AA1" s="4" t="s">
        <v>4</v>
      </c>
      <c r="AB1" s="4" t="s">
        <v>0</v>
      </c>
      <c r="AC1" s="4" t="s">
        <v>1</v>
      </c>
      <c r="AD1" s="4" t="s">
        <v>2</v>
      </c>
      <c r="AE1" s="4" t="s">
        <v>3</v>
      </c>
      <c r="AF1" s="4" t="s">
        <v>4</v>
      </c>
      <c r="AG1" s="5" t="s">
        <v>0</v>
      </c>
      <c r="AH1" s="5" t="s">
        <v>1</v>
      </c>
      <c r="AI1" s="5" t="s">
        <v>2</v>
      </c>
    </row>
    <row r="2" spans="1:35" ht="15.5" x14ac:dyDescent="0.35">
      <c r="A2" s="6" t="s">
        <v>5</v>
      </c>
      <c r="B2" s="6" t="s">
        <v>6</v>
      </c>
      <c r="C2" s="7" t="s">
        <v>7</v>
      </c>
      <c r="D2" s="7" t="s">
        <v>8</v>
      </c>
      <c r="E2" s="7" t="s">
        <v>9</v>
      </c>
      <c r="F2" s="6" t="s">
        <v>10</v>
      </c>
      <c r="G2" s="7" t="s">
        <v>11</v>
      </c>
      <c r="H2" s="7" t="s">
        <v>12</v>
      </c>
      <c r="I2" s="7" t="s">
        <v>13</v>
      </c>
      <c r="J2" s="6" t="s">
        <v>14</v>
      </c>
      <c r="K2" s="7" t="s">
        <v>15</v>
      </c>
      <c r="L2" s="7" t="s">
        <v>16</v>
      </c>
      <c r="M2" s="8">
        <v>1</v>
      </c>
      <c r="N2" s="8">
        <v>2</v>
      </c>
      <c r="O2" s="8">
        <v>3</v>
      </c>
      <c r="P2" s="8">
        <v>4</v>
      </c>
      <c r="Q2" s="8">
        <v>5</v>
      </c>
      <c r="R2" s="8">
        <v>8</v>
      </c>
      <c r="S2" s="8">
        <v>9</v>
      </c>
      <c r="T2" s="8">
        <v>10</v>
      </c>
      <c r="U2" s="8">
        <v>11</v>
      </c>
      <c r="V2" s="8">
        <v>12</v>
      </c>
      <c r="W2" s="8">
        <v>15</v>
      </c>
      <c r="X2" s="8">
        <v>16</v>
      </c>
      <c r="Y2" s="8">
        <v>17</v>
      </c>
      <c r="Z2" s="8">
        <v>18</v>
      </c>
      <c r="AA2" s="8">
        <v>19</v>
      </c>
      <c r="AB2" s="8">
        <v>22</v>
      </c>
      <c r="AC2" s="8">
        <v>23</v>
      </c>
      <c r="AD2" s="8">
        <v>24</v>
      </c>
      <c r="AE2" s="8">
        <v>25</v>
      </c>
      <c r="AF2" s="8">
        <v>26</v>
      </c>
      <c r="AG2" s="8">
        <v>29</v>
      </c>
      <c r="AH2" s="8">
        <v>30</v>
      </c>
      <c r="AI2" s="8">
        <v>31</v>
      </c>
    </row>
    <row r="3" spans="1:35" x14ac:dyDescent="0.35">
      <c r="A3" s="9">
        <v>1</v>
      </c>
      <c r="B3" s="10">
        <v>1</v>
      </c>
      <c r="C3" s="10" t="s">
        <v>17</v>
      </c>
      <c r="D3" s="11" t="s">
        <v>18</v>
      </c>
      <c r="E3" s="11" t="s">
        <v>19</v>
      </c>
      <c r="F3" s="10">
        <v>6399221384</v>
      </c>
      <c r="G3" s="12" t="s">
        <v>20</v>
      </c>
      <c r="H3" s="11" t="s">
        <v>21</v>
      </c>
      <c r="I3" s="13" t="str">
        <f>D3</f>
        <v>NIKITHA ADULA</v>
      </c>
      <c r="J3" s="10">
        <v>2120339506</v>
      </c>
      <c r="K3" s="11" t="s">
        <v>22</v>
      </c>
      <c r="L3" s="11">
        <v>18</v>
      </c>
      <c r="M3" s="10" t="s">
        <v>23</v>
      </c>
      <c r="N3" s="10" t="s">
        <v>23</v>
      </c>
      <c r="O3" s="10" t="s">
        <v>24</v>
      </c>
      <c r="P3" s="10" t="s">
        <v>23</v>
      </c>
      <c r="Q3" s="10" t="s">
        <v>23</v>
      </c>
      <c r="R3" s="10" t="s">
        <v>23</v>
      </c>
      <c r="S3" s="10" t="s">
        <v>23</v>
      </c>
      <c r="T3" s="10" t="s">
        <v>23</v>
      </c>
      <c r="U3" s="10" t="s">
        <v>24</v>
      </c>
      <c r="V3" s="10" t="s">
        <v>23</v>
      </c>
      <c r="W3" s="10" t="s">
        <v>23</v>
      </c>
      <c r="X3" s="10" t="s">
        <v>24</v>
      </c>
      <c r="Y3" s="10" t="s">
        <v>23</v>
      </c>
      <c r="Z3" s="10" t="s">
        <v>23</v>
      </c>
      <c r="AA3" s="10" t="s">
        <v>23</v>
      </c>
      <c r="AB3" s="10" t="s">
        <v>23</v>
      </c>
      <c r="AC3" s="10" t="s">
        <v>23</v>
      </c>
      <c r="AD3" s="10" t="s">
        <v>23</v>
      </c>
      <c r="AE3" s="10" t="s">
        <v>23</v>
      </c>
      <c r="AF3" s="10" t="s">
        <v>23</v>
      </c>
      <c r="AG3" s="10" t="s">
        <v>25</v>
      </c>
      <c r="AH3" s="10" t="s">
        <v>23</v>
      </c>
      <c r="AI3" s="10" t="s">
        <v>23</v>
      </c>
    </row>
    <row r="4" spans="1:35" x14ac:dyDescent="0.35">
      <c r="A4" s="9">
        <v>2</v>
      </c>
      <c r="B4" s="10">
        <v>1</v>
      </c>
      <c r="C4" s="10" t="s">
        <v>26</v>
      </c>
      <c r="D4" s="11" t="s">
        <v>27</v>
      </c>
      <c r="E4" s="11" t="s">
        <v>28</v>
      </c>
      <c r="F4" s="10">
        <v>8732960724</v>
      </c>
      <c r="G4" s="12" t="s">
        <v>29</v>
      </c>
      <c r="H4" s="11" t="s">
        <v>21</v>
      </c>
      <c r="I4" s="13" t="str">
        <f t="shared" ref="I4:I67" si="0">D4</f>
        <v>ADULA LIKHITHA</v>
      </c>
      <c r="J4" s="10">
        <v>2573691990</v>
      </c>
      <c r="K4" s="11" t="s">
        <v>30</v>
      </c>
      <c r="L4" s="11">
        <v>21</v>
      </c>
      <c r="M4" s="10" t="s">
        <v>23</v>
      </c>
      <c r="N4" s="10" t="str">
        <f ca="1">CHOOSE(RANDBETWEEN(1,3),"P","A","L")</f>
        <v>L</v>
      </c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 t="s">
        <v>23</v>
      </c>
      <c r="AF4" s="10" t="s">
        <v>23</v>
      </c>
      <c r="AG4" s="10" t="s">
        <v>25</v>
      </c>
      <c r="AH4" s="10" t="s">
        <v>24</v>
      </c>
      <c r="AI4" s="10" t="s">
        <v>25</v>
      </c>
    </row>
    <row r="5" spans="1:35" x14ac:dyDescent="0.35">
      <c r="A5" s="9">
        <v>3</v>
      </c>
      <c r="B5" s="10">
        <v>3</v>
      </c>
      <c r="C5" s="10" t="s">
        <v>31</v>
      </c>
      <c r="D5" s="11" t="s">
        <v>32</v>
      </c>
      <c r="E5" s="11" t="s">
        <v>28</v>
      </c>
      <c r="F5" s="10">
        <v>3928683138</v>
      </c>
      <c r="G5" s="12" t="s">
        <v>33</v>
      </c>
      <c r="H5" s="11" t="s">
        <v>34</v>
      </c>
      <c r="I5" s="13" t="str">
        <f t="shared" si="0"/>
        <v>AKASH RAJPOOT</v>
      </c>
      <c r="J5" s="10">
        <v>8436624675</v>
      </c>
      <c r="K5" s="11" t="s">
        <v>35</v>
      </c>
      <c r="L5" s="11">
        <v>19</v>
      </c>
      <c r="M5" s="10" t="s">
        <v>23</v>
      </c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spans="1:35" x14ac:dyDescent="0.35">
      <c r="A6" s="9">
        <v>4</v>
      </c>
      <c r="B6" s="10">
        <v>3</v>
      </c>
      <c r="C6" s="10" t="s">
        <v>36</v>
      </c>
      <c r="D6" s="11" t="s">
        <v>37</v>
      </c>
      <c r="E6" s="11" t="s">
        <v>28</v>
      </c>
      <c r="F6" s="10">
        <v>6302977515</v>
      </c>
      <c r="G6" s="12" t="s">
        <v>38</v>
      </c>
      <c r="H6" s="11" t="s">
        <v>34</v>
      </c>
      <c r="I6" s="13" t="str">
        <f t="shared" si="0"/>
        <v>ALOK KUMAR</v>
      </c>
      <c r="J6" s="10">
        <v>2124694089</v>
      </c>
      <c r="K6" s="11" t="s">
        <v>39</v>
      </c>
      <c r="L6" s="11">
        <v>19</v>
      </c>
      <c r="M6" s="10" t="s">
        <v>23</v>
      </c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spans="1:35" x14ac:dyDescent="0.35">
      <c r="A7" s="9">
        <v>5</v>
      </c>
      <c r="B7" s="10">
        <v>1</v>
      </c>
      <c r="C7" s="10" t="s">
        <v>40</v>
      </c>
      <c r="D7" s="11" t="s">
        <v>41</v>
      </c>
      <c r="E7" s="11" t="s">
        <v>28</v>
      </c>
      <c r="F7" s="10">
        <v>3285643454</v>
      </c>
      <c r="G7" s="12" t="s">
        <v>42</v>
      </c>
      <c r="H7" s="11" t="s">
        <v>34</v>
      </c>
      <c r="I7" s="13" t="str">
        <f t="shared" si="0"/>
        <v>AYUSHMAN SINGH BAGHEL</v>
      </c>
      <c r="J7" s="10">
        <v>6858212965</v>
      </c>
      <c r="K7" s="11" t="s">
        <v>43</v>
      </c>
      <c r="L7" s="11">
        <v>18</v>
      </c>
      <c r="M7" s="10" t="s">
        <v>24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</row>
    <row r="8" spans="1:35" x14ac:dyDescent="0.35">
      <c r="A8" s="9">
        <v>6</v>
      </c>
      <c r="B8" s="10">
        <v>3</v>
      </c>
      <c r="C8" s="10" t="s">
        <v>44</v>
      </c>
      <c r="D8" s="11" t="s">
        <v>45</v>
      </c>
      <c r="E8" s="11" t="s">
        <v>19</v>
      </c>
      <c r="F8" s="10">
        <v>6204804746</v>
      </c>
      <c r="G8" s="12" t="s">
        <v>46</v>
      </c>
      <c r="H8" s="11" t="s">
        <v>34</v>
      </c>
      <c r="I8" s="13" t="str">
        <f t="shared" si="0"/>
        <v>B SANDEEP ROY</v>
      </c>
      <c r="J8" s="10">
        <v>1456755625</v>
      </c>
      <c r="K8" s="11" t="s">
        <v>47</v>
      </c>
      <c r="L8" s="11">
        <v>25</v>
      </c>
      <c r="M8" s="10" t="s">
        <v>23</v>
      </c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</row>
    <row r="9" spans="1:35" x14ac:dyDescent="0.35">
      <c r="A9" s="9">
        <v>7</v>
      </c>
      <c r="B9" s="10">
        <v>3</v>
      </c>
      <c r="C9" s="10" t="s">
        <v>48</v>
      </c>
      <c r="D9" s="11" t="s">
        <v>49</v>
      </c>
      <c r="E9" s="11" t="s">
        <v>28</v>
      </c>
      <c r="F9" s="10">
        <v>8402592334</v>
      </c>
      <c r="G9" s="12" t="s">
        <v>50</v>
      </c>
      <c r="H9" s="11" t="s">
        <v>34</v>
      </c>
      <c r="I9" s="13" t="str">
        <f t="shared" si="0"/>
        <v>B. SRINIVASULU</v>
      </c>
      <c r="J9" s="10">
        <v>1716014472</v>
      </c>
      <c r="K9" s="11" t="s">
        <v>51</v>
      </c>
      <c r="L9" s="11">
        <v>18</v>
      </c>
      <c r="M9" s="10" t="s">
        <v>23</v>
      </c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</row>
    <row r="10" spans="1:35" x14ac:dyDescent="0.35">
      <c r="A10" s="9">
        <v>8</v>
      </c>
      <c r="B10" s="10">
        <v>1</v>
      </c>
      <c r="C10" s="10" t="s">
        <v>52</v>
      </c>
      <c r="D10" s="11" t="s">
        <v>53</v>
      </c>
      <c r="E10" s="11" t="s">
        <v>28</v>
      </c>
      <c r="F10" s="10">
        <v>1770577932</v>
      </c>
      <c r="G10" s="12" t="s">
        <v>54</v>
      </c>
      <c r="H10" s="11" t="s">
        <v>34</v>
      </c>
      <c r="I10" s="13" t="str">
        <f t="shared" si="0"/>
        <v>BAIRI PRATHYUSH</v>
      </c>
      <c r="J10" s="10">
        <v>2915576343</v>
      </c>
      <c r="K10" s="11" t="s">
        <v>55</v>
      </c>
      <c r="L10" s="11">
        <v>21</v>
      </c>
      <c r="M10" s="10" t="s">
        <v>23</v>
      </c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</row>
    <row r="11" spans="1:35" x14ac:dyDescent="0.35">
      <c r="A11" s="9">
        <v>9</v>
      </c>
      <c r="B11" s="10">
        <v>1</v>
      </c>
      <c r="C11" s="10" t="s">
        <v>56</v>
      </c>
      <c r="D11" s="11" t="s">
        <v>57</v>
      </c>
      <c r="E11" s="11" t="s">
        <v>19</v>
      </c>
      <c r="F11" s="10">
        <v>1087593685</v>
      </c>
      <c r="G11" s="12" t="s">
        <v>58</v>
      </c>
      <c r="H11" s="11" t="s">
        <v>21</v>
      </c>
      <c r="I11" s="13" t="str">
        <f t="shared" si="0"/>
        <v>BANDAPALLI GANGABHAVANI</v>
      </c>
      <c r="J11" s="10">
        <v>7625492200</v>
      </c>
      <c r="K11" s="11" t="s">
        <v>59</v>
      </c>
      <c r="L11" s="11">
        <v>22</v>
      </c>
      <c r="M11" s="10" t="s">
        <v>24</v>
      </c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</row>
    <row r="12" spans="1:35" x14ac:dyDescent="0.35">
      <c r="A12" s="9">
        <v>10</v>
      </c>
      <c r="B12" s="10">
        <v>2</v>
      </c>
      <c r="C12" s="10" t="s">
        <v>60</v>
      </c>
      <c r="D12" s="11" t="s">
        <v>61</v>
      </c>
      <c r="E12" s="11" t="s">
        <v>28</v>
      </c>
      <c r="F12" s="10">
        <v>1693682470</v>
      </c>
      <c r="G12" s="12" t="s">
        <v>62</v>
      </c>
      <c r="H12" s="11" t="s">
        <v>21</v>
      </c>
      <c r="I12" s="13" t="str">
        <f t="shared" si="0"/>
        <v>BURRI VINITHA</v>
      </c>
      <c r="J12" s="10">
        <v>5262777453</v>
      </c>
      <c r="K12" s="11" t="s">
        <v>63</v>
      </c>
      <c r="L12" s="11">
        <v>19</v>
      </c>
      <c r="M12" s="10" t="s">
        <v>23</v>
      </c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</row>
    <row r="13" spans="1:35" x14ac:dyDescent="0.35">
      <c r="A13" s="9">
        <v>11</v>
      </c>
      <c r="B13" s="10">
        <v>2</v>
      </c>
      <c r="C13" s="10" t="s">
        <v>64</v>
      </c>
      <c r="D13" s="11" t="s">
        <v>65</v>
      </c>
      <c r="E13" s="11" t="s">
        <v>28</v>
      </c>
      <c r="F13" s="10">
        <v>1821308586</v>
      </c>
      <c r="G13" s="12" t="s">
        <v>66</v>
      </c>
      <c r="H13" s="11" t="s">
        <v>34</v>
      </c>
      <c r="I13" s="13" t="str">
        <f t="shared" si="0"/>
        <v>CHANDRA SAMPATH KUMAR</v>
      </c>
      <c r="J13" s="10">
        <v>3313353085</v>
      </c>
      <c r="K13" s="11" t="s">
        <v>67</v>
      </c>
      <c r="L13" s="11">
        <v>21</v>
      </c>
      <c r="M13" s="10" t="s">
        <v>23</v>
      </c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</row>
    <row r="14" spans="1:35" x14ac:dyDescent="0.35">
      <c r="A14" s="9">
        <v>12</v>
      </c>
      <c r="B14" s="10">
        <v>1</v>
      </c>
      <c r="C14" s="10" t="s">
        <v>68</v>
      </c>
      <c r="D14" s="11" t="s">
        <v>69</v>
      </c>
      <c r="E14" s="11" t="s">
        <v>28</v>
      </c>
      <c r="F14" s="10">
        <v>1683546545</v>
      </c>
      <c r="G14" s="12" t="s">
        <v>70</v>
      </c>
      <c r="H14" s="11" t="s">
        <v>34</v>
      </c>
      <c r="I14" s="13" t="str">
        <f t="shared" si="0"/>
        <v>CHINNAKOTLA SURYA TEJA</v>
      </c>
      <c r="J14" s="10">
        <v>6225939300</v>
      </c>
      <c r="K14" s="11" t="s">
        <v>71</v>
      </c>
      <c r="L14" s="11">
        <v>22</v>
      </c>
      <c r="M14" s="10" t="s">
        <v>23</v>
      </c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</row>
    <row r="15" spans="1:35" x14ac:dyDescent="0.35">
      <c r="A15" s="9">
        <v>13</v>
      </c>
      <c r="B15" s="10">
        <v>3</v>
      </c>
      <c r="C15" s="10" t="s">
        <v>72</v>
      </c>
      <c r="D15" s="11" t="s">
        <v>73</v>
      </c>
      <c r="E15" s="11" t="s">
        <v>28</v>
      </c>
      <c r="F15" s="10">
        <v>5506439807</v>
      </c>
      <c r="G15" s="12" t="s">
        <v>74</v>
      </c>
      <c r="H15" s="11" t="s">
        <v>21</v>
      </c>
      <c r="I15" s="13" t="str">
        <f t="shared" si="0"/>
        <v>DASARI VIMALA</v>
      </c>
      <c r="J15" s="10">
        <v>5760440421</v>
      </c>
      <c r="K15" s="11" t="s">
        <v>75</v>
      </c>
      <c r="L15" s="11">
        <v>20</v>
      </c>
      <c r="M15" s="10" t="s">
        <v>23</v>
      </c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</row>
    <row r="16" spans="1:35" x14ac:dyDescent="0.35">
      <c r="A16" s="9">
        <v>14</v>
      </c>
      <c r="B16" s="10">
        <v>1</v>
      </c>
      <c r="C16" s="10" t="s">
        <v>76</v>
      </c>
      <c r="D16" s="11" t="s">
        <v>77</v>
      </c>
      <c r="E16" s="11" t="s">
        <v>19</v>
      </c>
      <c r="F16" s="10">
        <v>3565997600</v>
      </c>
      <c r="G16" s="12" t="s">
        <v>78</v>
      </c>
      <c r="H16" s="11" t="s">
        <v>34</v>
      </c>
      <c r="I16" s="13" t="str">
        <f t="shared" si="0"/>
        <v>DEVALLA DEEPAK</v>
      </c>
      <c r="J16" s="10">
        <v>8490923938</v>
      </c>
      <c r="K16" s="11" t="s">
        <v>79</v>
      </c>
      <c r="L16" s="11">
        <v>17</v>
      </c>
      <c r="M16" s="10" t="s">
        <v>23</v>
      </c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</row>
    <row r="17" spans="1:35" x14ac:dyDescent="0.35">
      <c r="A17" s="9">
        <v>15</v>
      </c>
      <c r="B17" s="10">
        <v>2</v>
      </c>
      <c r="C17" s="10" t="s">
        <v>80</v>
      </c>
      <c r="D17" s="11" t="s">
        <v>81</v>
      </c>
      <c r="E17" s="11" t="s">
        <v>28</v>
      </c>
      <c r="F17" s="10">
        <v>2685014153</v>
      </c>
      <c r="G17" s="12" t="s">
        <v>82</v>
      </c>
      <c r="H17" s="11" t="s">
        <v>21</v>
      </c>
      <c r="I17" s="13" t="str">
        <f t="shared" si="0"/>
        <v>DEVKATHE KOMAL</v>
      </c>
      <c r="J17" s="10">
        <v>7776371742</v>
      </c>
      <c r="K17" s="11" t="s">
        <v>83</v>
      </c>
      <c r="L17" s="11">
        <v>20</v>
      </c>
      <c r="M17" s="10" t="s">
        <v>23</v>
      </c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</row>
    <row r="18" spans="1:35" x14ac:dyDescent="0.35">
      <c r="A18" s="9">
        <v>16</v>
      </c>
      <c r="B18" s="10">
        <v>3</v>
      </c>
      <c r="C18" s="10" t="s">
        <v>84</v>
      </c>
      <c r="D18" s="11" t="s">
        <v>85</v>
      </c>
      <c r="E18" s="11" t="s">
        <v>28</v>
      </c>
      <c r="F18" s="10">
        <v>8144007188</v>
      </c>
      <c r="G18" s="12" t="s">
        <v>86</v>
      </c>
      <c r="H18" s="11" t="s">
        <v>34</v>
      </c>
      <c r="I18" s="13" t="str">
        <f t="shared" si="0"/>
        <v>EERAMMAGARI RAVITEJA</v>
      </c>
      <c r="J18" s="10">
        <v>4110668493</v>
      </c>
      <c r="K18" s="11" t="s">
        <v>87</v>
      </c>
      <c r="L18" s="11">
        <v>18</v>
      </c>
      <c r="M18" s="10" t="s">
        <v>24</v>
      </c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</row>
    <row r="19" spans="1:35" x14ac:dyDescent="0.35">
      <c r="A19" s="9">
        <v>17</v>
      </c>
      <c r="B19" s="10">
        <v>1</v>
      </c>
      <c r="C19" s="10" t="s">
        <v>88</v>
      </c>
      <c r="D19" s="11" t="s">
        <v>89</v>
      </c>
      <c r="E19" s="11" t="s">
        <v>19</v>
      </c>
      <c r="F19" s="10">
        <v>5451418853</v>
      </c>
      <c r="G19" s="12" t="s">
        <v>90</v>
      </c>
      <c r="H19" s="11" t="s">
        <v>21</v>
      </c>
      <c r="I19" s="13" t="str">
        <f t="shared" si="0"/>
        <v>ELLENDULA SUPRIYA</v>
      </c>
      <c r="J19" s="10">
        <v>2801450939</v>
      </c>
      <c r="K19" s="11" t="s">
        <v>91</v>
      </c>
      <c r="L19" s="11">
        <v>20</v>
      </c>
      <c r="M19" s="10" t="s">
        <v>25</v>
      </c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</row>
    <row r="20" spans="1:35" x14ac:dyDescent="0.35">
      <c r="A20" s="9">
        <v>18</v>
      </c>
      <c r="B20" s="10">
        <v>3</v>
      </c>
      <c r="C20" s="10" t="s">
        <v>92</v>
      </c>
      <c r="D20" s="11" t="s">
        <v>93</v>
      </c>
      <c r="E20" s="11" t="s">
        <v>28</v>
      </c>
      <c r="F20" s="10">
        <v>2352093828</v>
      </c>
      <c r="G20" s="12" t="s">
        <v>94</v>
      </c>
      <c r="H20" s="11" t="s">
        <v>21</v>
      </c>
      <c r="I20" s="13" t="str">
        <f t="shared" si="0"/>
        <v>GADIYARAM VARSHA</v>
      </c>
      <c r="J20" s="10">
        <v>3986948366</v>
      </c>
      <c r="K20" s="11" t="s">
        <v>95</v>
      </c>
      <c r="L20" s="11">
        <v>17</v>
      </c>
      <c r="M20" s="10" t="s">
        <v>23</v>
      </c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</row>
    <row r="21" spans="1:35" x14ac:dyDescent="0.35">
      <c r="A21" s="9">
        <v>19</v>
      </c>
      <c r="B21" s="10">
        <v>2</v>
      </c>
      <c r="C21" s="10" t="s">
        <v>96</v>
      </c>
      <c r="D21" s="11" t="s">
        <v>97</v>
      </c>
      <c r="E21" s="11" t="s">
        <v>28</v>
      </c>
      <c r="F21" s="10">
        <v>4851546652</v>
      </c>
      <c r="G21" s="12" t="s">
        <v>98</v>
      </c>
      <c r="H21" s="11" t="s">
        <v>21</v>
      </c>
      <c r="I21" s="13" t="str">
        <f t="shared" si="0"/>
        <v>GAIKWAD SRUSHTI</v>
      </c>
      <c r="J21" s="10">
        <v>5137188101</v>
      </c>
      <c r="K21" s="11" t="s">
        <v>99</v>
      </c>
      <c r="L21" s="11">
        <v>20</v>
      </c>
      <c r="M21" s="10" t="s">
        <v>25</v>
      </c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</row>
    <row r="22" spans="1:35" x14ac:dyDescent="0.35">
      <c r="A22" s="9">
        <v>20</v>
      </c>
      <c r="B22" s="10">
        <v>2</v>
      </c>
      <c r="C22" s="10" t="s">
        <v>100</v>
      </c>
      <c r="D22" s="11" t="s">
        <v>101</v>
      </c>
      <c r="E22" s="11" t="s">
        <v>19</v>
      </c>
      <c r="F22" s="10">
        <v>6604423032</v>
      </c>
      <c r="G22" s="12" t="s">
        <v>102</v>
      </c>
      <c r="H22" s="11" t="s">
        <v>34</v>
      </c>
      <c r="I22" s="13" t="str">
        <f t="shared" si="0"/>
        <v>GAJJELA GIRI</v>
      </c>
      <c r="J22" s="10">
        <v>6351278699</v>
      </c>
      <c r="K22" s="11" t="s">
        <v>103</v>
      </c>
      <c r="L22" s="11">
        <v>17</v>
      </c>
      <c r="M22" s="10" t="s">
        <v>23</v>
      </c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</row>
    <row r="23" spans="1:35" x14ac:dyDescent="0.35">
      <c r="A23" s="9">
        <v>21</v>
      </c>
      <c r="B23" s="10">
        <v>2</v>
      </c>
      <c r="C23" s="10" t="s">
        <v>104</v>
      </c>
      <c r="D23" s="11" t="s">
        <v>105</v>
      </c>
      <c r="E23" s="11" t="s">
        <v>19</v>
      </c>
      <c r="F23" s="10">
        <v>4267924443</v>
      </c>
      <c r="G23" s="12" t="s">
        <v>106</v>
      </c>
      <c r="H23" s="11" t="s">
        <v>21</v>
      </c>
      <c r="I23" s="13" t="str">
        <f t="shared" si="0"/>
        <v>GARAPATI GAYATHRI</v>
      </c>
      <c r="J23" s="10">
        <v>1117078113</v>
      </c>
      <c r="K23" s="11" t="s">
        <v>107</v>
      </c>
      <c r="L23" s="11">
        <v>21</v>
      </c>
      <c r="M23" s="10" t="s">
        <v>23</v>
      </c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</row>
    <row r="24" spans="1:35" x14ac:dyDescent="0.35">
      <c r="A24" s="9">
        <v>22</v>
      </c>
      <c r="B24" s="10">
        <v>2</v>
      </c>
      <c r="C24" s="10" t="s">
        <v>108</v>
      </c>
      <c r="D24" s="11" t="s">
        <v>109</v>
      </c>
      <c r="E24" s="11" t="s">
        <v>28</v>
      </c>
      <c r="F24" s="10">
        <v>2776428499</v>
      </c>
      <c r="G24" s="12" t="s">
        <v>110</v>
      </c>
      <c r="H24" s="11" t="s">
        <v>34</v>
      </c>
      <c r="I24" s="13" t="str">
        <f t="shared" si="0"/>
        <v>GOLI SAI LOKESH</v>
      </c>
      <c r="J24" s="10">
        <v>4237487936</v>
      </c>
      <c r="K24" s="11" t="s">
        <v>111</v>
      </c>
      <c r="L24" s="11">
        <v>20</v>
      </c>
      <c r="M24" s="10" t="s">
        <v>24</v>
      </c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</row>
    <row r="25" spans="1:35" x14ac:dyDescent="0.35">
      <c r="A25" s="9">
        <v>23</v>
      </c>
      <c r="B25" s="10">
        <v>3</v>
      </c>
      <c r="C25" s="10" t="s">
        <v>112</v>
      </c>
      <c r="D25" s="11" t="s">
        <v>113</v>
      </c>
      <c r="E25" s="11" t="s">
        <v>28</v>
      </c>
      <c r="F25" s="10">
        <v>2344591250</v>
      </c>
      <c r="G25" s="12" t="s">
        <v>114</v>
      </c>
      <c r="H25" s="11" t="s">
        <v>21</v>
      </c>
      <c r="I25" s="13" t="str">
        <f t="shared" si="0"/>
        <v>GURRAM YAMINI</v>
      </c>
      <c r="J25" s="10">
        <v>6333677229</v>
      </c>
      <c r="K25" s="11" t="s">
        <v>115</v>
      </c>
      <c r="L25" s="11">
        <v>21</v>
      </c>
      <c r="M25" s="10" t="s">
        <v>23</v>
      </c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</row>
    <row r="26" spans="1:35" x14ac:dyDescent="0.35">
      <c r="A26" s="9">
        <v>24</v>
      </c>
      <c r="B26" s="10">
        <v>1</v>
      </c>
      <c r="C26" s="10" t="s">
        <v>116</v>
      </c>
      <c r="D26" s="11" t="s">
        <v>117</v>
      </c>
      <c r="E26" s="11" t="s">
        <v>28</v>
      </c>
      <c r="F26" s="10">
        <v>4564000793</v>
      </c>
      <c r="G26" s="12" t="s">
        <v>118</v>
      </c>
      <c r="H26" s="11" t="s">
        <v>34</v>
      </c>
      <c r="I26" s="13" t="str">
        <f t="shared" si="0"/>
        <v>HARI OM RAI</v>
      </c>
      <c r="J26" s="10">
        <v>1992483996</v>
      </c>
      <c r="K26" s="11" t="s">
        <v>119</v>
      </c>
      <c r="L26" s="11">
        <v>18</v>
      </c>
      <c r="M26" s="10" t="s">
        <v>24</v>
      </c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</row>
    <row r="27" spans="1:35" x14ac:dyDescent="0.35">
      <c r="A27" s="9">
        <v>25</v>
      </c>
      <c r="B27" s="10">
        <v>1</v>
      </c>
      <c r="C27" s="10" t="s">
        <v>120</v>
      </c>
      <c r="D27" s="11" t="s">
        <v>121</v>
      </c>
      <c r="E27" s="11" t="s">
        <v>28</v>
      </c>
      <c r="F27" s="10">
        <v>7831800139</v>
      </c>
      <c r="G27" s="12" t="s">
        <v>122</v>
      </c>
      <c r="H27" s="11" t="s">
        <v>34</v>
      </c>
      <c r="I27" s="13" t="str">
        <f t="shared" si="0"/>
        <v>JADHAV YOGESH DHARAMSIGH</v>
      </c>
      <c r="J27" s="10">
        <v>7002671776</v>
      </c>
      <c r="K27" s="11" t="s">
        <v>123</v>
      </c>
      <c r="L27" s="11">
        <v>19</v>
      </c>
      <c r="M27" s="10" t="s">
        <v>25</v>
      </c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</row>
    <row r="28" spans="1:35" x14ac:dyDescent="0.35">
      <c r="A28" s="9">
        <v>26</v>
      </c>
      <c r="B28" s="10">
        <v>1</v>
      </c>
      <c r="C28" s="10" t="s">
        <v>124</v>
      </c>
      <c r="D28" s="11" t="s">
        <v>125</v>
      </c>
      <c r="E28" s="11" t="s">
        <v>28</v>
      </c>
      <c r="F28" s="10">
        <v>1359937879</v>
      </c>
      <c r="G28" s="12" t="s">
        <v>126</v>
      </c>
      <c r="H28" s="11" t="s">
        <v>21</v>
      </c>
      <c r="I28" s="13" t="str">
        <f t="shared" si="0"/>
        <v>K. SANTOSHI</v>
      </c>
      <c r="J28" s="10">
        <v>4827283289</v>
      </c>
      <c r="K28" s="11" t="s">
        <v>127</v>
      </c>
      <c r="L28" s="11">
        <v>27</v>
      </c>
      <c r="M28" s="10" t="s">
        <v>24</v>
      </c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</row>
    <row r="29" spans="1:35" x14ac:dyDescent="0.35">
      <c r="A29" s="9">
        <v>27</v>
      </c>
      <c r="B29" s="10">
        <v>3</v>
      </c>
      <c r="C29" s="10" t="s">
        <v>128</v>
      </c>
      <c r="D29" s="11" t="s">
        <v>129</v>
      </c>
      <c r="E29" s="11" t="s">
        <v>19</v>
      </c>
      <c r="F29" s="10">
        <v>8357059907</v>
      </c>
      <c r="G29" s="12" t="s">
        <v>130</v>
      </c>
      <c r="H29" s="11" t="s">
        <v>21</v>
      </c>
      <c r="I29" s="13" t="str">
        <f t="shared" si="0"/>
        <v>KALIGOTA NIHARIKA</v>
      </c>
      <c r="J29" s="10">
        <v>8320036132</v>
      </c>
      <c r="K29" s="11" t="s">
        <v>131</v>
      </c>
      <c r="L29" s="11">
        <v>18</v>
      </c>
      <c r="M29" s="10" t="s">
        <v>23</v>
      </c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</row>
    <row r="30" spans="1:35" x14ac:dyDescent="0.35">
      <c r="A30" s="9">
        <v>28</v>
      </c>
      <c r="B30" s="10">
        <v>2</v>
      </c>
      <c r="C30" s="10" t="s">
        <v>132</v>
      </c>
      <c r="D30" s="11" t="s">
        <v>133</v>
      </c>
      <c r="E30" s="11" t="s">
        <v>28</v>
      </c>
      <c r="F30" s="10">
        <v>8195300576</v>
      </c>
      <c r="G30" s="12" t="s">
        <v>134</v>
      </c>
      <c r="H30" s="11" t="s">
        <v>21</v>
      </c>
      <c r="I30" s="13" t="str">
        <f t="shared" si="0"/>
        <v>KALPANA KODARI</v>
      </c>
      <c r="J30" s="10">
        <v>8198639598</v>
      </c>
      <c r="K30" s="11" t="s">
        <v>135</v>
      </c>
      <c r="L30" s="11">
        <v>22</v>
      </c>
      <c r="M30" s="10" t="s">
        <v>23</v>
      </c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</row>
    <row r="31" spans="1:35" x14ac:dyDescent="0.35">
      <c r="A31" s="9">
        <v>29</v>
      </c>
      <c r="B31" s="10">
        <v>2</v>
      </c>
      <c r="C31" s="10" t="s">
        <v>136</v>
      </c>
      <c r="D31" s="11" t="s">
        <v>137</v>
      </c>
      <c r="E31" s="11" t="s">
        <v>28</v>
      </c>
      <c r="F31" s="10">
        <v>3908490120</v>
      </c>
      <c r="G31" s="12" t="s">
        <v>138</v>
      </c>
      <c r="H31" s="11" t="s">
        <v>34</v>
      </c>
      <c r="I31" s="13" t="str">
        <f t="shared" si="0"/>
        <v>KANCHA AKASH</v>
      </c>
      <c r="J31" s="10">
        <v>6600384368</v>
      </c>
      <c r="K31" s="11" t="s">
        <v>139</v>
      </c>
      <c r="L31" s="11">
        <v>20</v>
      </c>
      <c r="M31" s="10" t="s">
        <v>23</v>
      </c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</row>
    <row r="32" spans="1:35" x14ac:dyDescent="0.35">
      <c r="A32" s="9">
        <v>30</v>
      </c>
      <c r="B32" s="10">
        <v>3</v>
      </c>
      <c r="C32" s="10" t="s">
        <v>140</v>
      </c>
      <c r="D32" s="11" t="s">
        <v>141</v>
      </c>
      <c r="E32" s="11" t="s">
        <v>28</v>
      </c>
      <c r="F32" s="10">
        <v>6654686097</v>
      </c>
      <c r="G32" s="12" t="s">
        <v>142</v>
      </c>
      <c r="H32" s="11" t="s">
        <v>34</v>
      </c>
      <c r="I32" s="13" t="str">
        <f t="shared" si="0"/>
        <v>KASTURI SAI MAHESH</v>
      </c>
      <c r="J32" s="10">
        <v>6763788621</v>
      </c>
      <c r="K32" s="11" t="s">
        <v>143</v>
      </c>
      <c r="L32" s="11">
        <v>17</v>
      </c>
      <c r="M32" s="10" t="s">
        <v>23</v>
      </c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</row>
    <row r="33" spans="1:35" x14ac:dyDescent="0.35">
      <c r="A33" s="9">
        <v>31</v>
      </c>
      <c r="B33" s="10">
        <v>2</v>
      </c>
      <c r="C33" s="10" t="s">
        <v>144</v>
      </c>
      <c r="D33" s="11" t="s">
        <v>145</v>
      </c>
      <c r="E33" s="11" t="s">
        <v>28</v>
      </c>
      <c r="F33" s="10">
        <v>3176554504</v>
      </c>
      <c r="G33" s="12" t="s">
        <v>146</v>
      </c>
      <c r="H33" s="11" t="s">
        <v>34</v>
      </c>
      <c r="I33" s="13" t="str">
        <f t="shared" si="0"/>
        <v>LOVE TIWARI</v>
      </c>
      <c r="J33" s="10">
        <v>7070543329</v>
      </c>
      <c r="K33" s="11" t="s">
        <v>147</v>
      </c>
      <c r="L33" s="11">
        <v>22</v>
      </c>
      <c r="M33" s="10" t="s">
        <v>23</v>
      </c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</row>
    <row r="34" spans="1:35" x14ac:dyDescent="0.35">
      <c r="A34" s="9">
        <v>32</v>
      </c>
      <c r="B34" s="10">
        <v>1</v>
      </c>
      <c r="C34" s="10" t="s">
        <v>148</v>
      </c>
      <c r="D34" s="11" t="s">
        <v>149</v>
      </c>
      <c r="E34" s="11" t="s">
        <v>19</v>
      </c>
      <c r="F34" s="10">
        <v>7375541777</v>
      </c>
      <c r="G34" s="12" t="s">
        <v>150</v>
      </c>
      <c r="H34" s="11" t="s">
        <v>34</v>
      </c>
      <c r="I34" s="13" t="str">
        <f t="shared" si="0"/>
        <v>M. BALAJI</v>
      </c>
      <c r="J34" s="10">
        <v>2479994830</v>
      </c>
      <c r="K34" s="11" t="s">
        <v>151</v>
      </c>
      <c r="L34" s="11">
        <v>19</v>
      </c>
      <c r="M34" s="10" t="s">
        <v>23</v>
      </c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</row>
    <row r="35" spans="1:35" x14ac:dyDescent="0.35">
      <c r="A35" s="9">
        <v>33</v>
      </c>
      <c r="B35" s="10">
        <v>3</v>
      </c>
      <c r="C35" s="10" t="s">
        <v>152</v>
      </c>
      <c r="D35" s="11" t="s">
        <v>153</v>
      </c>
      <c r="E35" s="11" t="s">
        <v>19</v>
      </c>
      <c r="F35" s="10">
        <v>2307603936</v>
      </c>
      <c r="G35" s="12" t="s">
        <v>154</v>
      </c>
      <c r="H35" s="11" t="s">
        <v>21</v>
      </c>
      <c r="I35" s="13" t="str">
        <f t="shared" si="0"/>
        <v>MADHI VAISHNAVI</v>
      </c>
      <c r="J35" s="10">
        <v>2464662826</v>
      </c>
      <c r="K35" s="14">
        <v>37853</v>
      </c>
      <c r="L35" s="11">
        <v>20</v>
      </c>
      <c r="M35" s="10" t="s">
        <v>23</v>
      </c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</row>
    <row r="36" spans="1:35" x14ac:dyDescent="0.35">
      <c r="A36" s="9">
        <v>34</v>
      </c>
      <c r="B36" s="10">
        <v>2</v>
      </c>
      <c r="C36" s="10" t="s">
        <v>155</v>
      </c>
      <c r="D36" s="11" t="s">
        <v>156</v>
      </c>
      <c r="E36" s="11" t="s">
        <v>28</v>
      </c>
      <c r="F36" s="10">
        <v>7539961295</v>
      </c>
      <c r="G36" s="12" t="s">
        <v>157</v>
      </c>
      <c r="H36" s="11" t="s">
        <v>21</v>
      </c>
      <c r="I36" s="13" t="str">
        <f t="shared" si="0"/>
        <v>MANDALOJU NAGALAXMI</v>
      </c>
      <c r="J36" s="10">
        <v>7329763453</v>
      </c>
      <c r="K36" s="11" t="s">
        <v>158</v>
      </c>
      <c r="L36" s="11">
        <v>18</v>
      </c>
      <c r="M36" s="10" t="s">
        <v>23</v>
      </c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</row>
    <row r="37" spans="1:35" x14ac:dyDescent="0.35">
      <c r="A37" s="9">
        <v>35</v>
      </c>
      <c r="B37" s="10">
        <v>1</v>
      </c>
      <c r="C37" s="10" t="s">
        <v>159</v>
      </c>
      <c r="D37" s="11" t="s">
        <v>160</v>
      </c>
      <c r="E37" s="11" t="s">
        <v>28</v>
      </c>
      <c r="F37" s="10">
        <v>8714929594</v>
      </c>
      <c r="G37" s="12" t="s">
        <v>161</v>
      </c>
      <c r="H37" s="11" t="s">
        <v>21</v>
      </c>
      <c r="I37" s="13" t="str">
        <f t="shared" si="0"/>
        <v>MANIKYALA RAMADEVI</v>
      </c>
      <c r="J37" s="10">
        <v>1027318203</v>
      </c>
      <c r="K37" s="11" t="s">
        <v>162</v>
      </c>
      <c r="L37" s="11">
        <v>18</v>
      </c>
      <c r="M37" s="10" t="s">
        <v>23</v>
      </c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</row>
    <row r="38" spans="1:35" x14ac:dyDescent="0.35">
      <c r="A38" s="9">
        <v>36</v>
      </c>
      <c r="B38" s="10">
        <v>3</v>
      </c>
      <c r="C38" s="10" t="s">
        <v>163</v>
      </c>
      <c r="D38" s="11" t="s">
        <v>164</v>
      </c>
      <c r="E38" s="11" t="s">
        <v>19</v>
      </c>
      <c r="F38" s="10">
        <v>6748495954</v>
      </c>
      <c r="G38" s="12" t="s">
        <v>165</v>
      </c>
      <c r="H38" s="11" t="s">
        <v>21</v>
      </c>
      <c r="I38" s="13" t="str">
        <f t="shared" si="0"/>
        <v>MASKA PAVANI</v>
      </c>
      <c r="J38" s="10">
        <v>4012125534</v>
      </c>
      <c r="K38" s="11" t="s">
        <v>166</v>
      </c>
      <c r="L38" s="11">
        <v>17</v>
      </c>
      <c r="M38" s="10" t="s">
        <v>23</v>
      </c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</row>
    <row r="39" spans="1:35" x14ac:dyDescent="0.35">
      <c r="A39" s="9">
        <v>37</v>
      </c>
      <c r="B39" s="10">
        <v>3</v>
      </c>
      <c r="C39" s="10" t="s">
        <v>167</v>
      </c>
      <c r="D39" s="11" t="s">
        <v>168</v>
      </c>
      <c r="E39" s="11" t="s">
        <v>28</v>
      </c>
      <c r="F39" s="10">
        <v>5598318903</v>
      </c>
      <c r="G39" s="12" t="s">
        <v>169</v>
      </c>
      <c r="H39" s="11" t="s">
        <v>21</v>
      </c>
      <c r="I39" s="13" t="str">
        <f t="shared" si="0"/>
        <v>MEGHAGNI MUKHERJEE</v>
      </c>
      <c r="J39" s="10">
        <v>8606299440</v>
      </c>
      <c r="K39" s="11" t="s">
        <v>170</v>
      </c>
      <c r="L39" s="11">
        <v>18</v>
      </c>
      <c r="M39" s="10" t="s">
        <v>23</v>
      </c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</row>
    <row r="40" spans="1:35" x14ac:dyDescent="0.35">
      <c r="A40" s="9">
        <v>38</v>
      </c>
      <c r="B40" s="10">
        <v>1</v>
      </c>
      <c r="C40" s="10" t="s">
        <v>171</v>
      </c>
      <c r="D40" s="11" t="s">
        <v>172</v>
      </c>
      <c r="E40" s="11" t="s">
        <v>28</v>
      </c>
      <c r="F40" s="10">
        <v>5366755536</v>
      </c>
      <c r="G40" s="12" t="s">
        <v>173</v>
      </c>
      <c r="H40" s="11" t="s">
        <v>34</v>
      </c>
      <c r="I40" s="13" t="str">
        <f t="shared" si="0"/>
        <v>N LAXMI NARASIMHA</v>
      </c>
      <c r="J40" s="10">
        <v>4099577077</v>
      </c>
      <c r="K40" s="11" t="s">
        <v>174</v>
      </c>
      <c r="L40" s="11">
        <v>18</v>
      </c>
      <c r="M40" s="10" t="s">
        <v>23</v>
      </c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</row>
    <row r="41" spans="1:35" x14ac:dyDescent="0.35">
      <c r="A41" s="9">
        <v>39</v>
      </c>
      <c r="B41" s="10">
        <v>3</v>
      </c>
      <c r="C41" s="10" t="s">
        <v>175</v>
      </c>
      <c r="D41" s="11" t="s">
        <v>176</v>
      </c>
      <c r="E41" s="11" t="s">
        <v>19</v>
      </c>
      <c r="F41" s="10">
        <v>5685425899</v>
      </c>
      <c r="G41" s="12" t="s">
        <v>177</v>
      </c>
      <c r="H41" s="11" t="s">
        <v>21</v>
      </c>
      <c r="I41" s="13" t="str">
        <f t="shared" si="0"/>
        <v>NANAPURAJ LAHARIKA</v>
      </c>
      <c r="J41" s="10">
        <v>3700957702</v>
      </c>
      <c r="K41" s="11" t="s">
        <v>178</v>
      </c>
      <c r="L41" s="11">
        <v>20</v>
      </c>
      <c r="M41" s="10" t="s">
        <v>23</v>
      </c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</row>
    <row r="42" spans="1:35" x14ac:dyDescent="0.35">
      <c r="A42" s="9">
        <v>40</v>
      </c>
      <c r="B42" s="10">
        <v>3</v>
      </c>
      <c r="C42" s="10" t="s">
        <v>179</v>
      </c>
      <c r="D42" s="11" t="s">
        <v>180</v>
      </c>
      <c r="E42" s="11" t="s">
        <v>19</v>
      </c>
      <c r="F42" s="10">
        <v>8546891943</v>
      </c>
      <c r="G42" s="12" t="s">
        <v>181</v>
      </c>
      <c r="H42" s="11" t="s">
        <v>34</v>
      </c>
      <c r="I42" s="13" t="str">
        <f t="shared" si="0"/>
        <v>NARRA VENKATA SAI</v>
      </c>
      <c r="J42" s="10">
        <v>1351607642</v>
      </c>
      <c r="K42" s="11" t="s">
        <v>182</v>
      </c>
      <c r="L42" s="11">
        <v>21</v>
      </c>
      <c r="M42" s="10" t="s">
        <v>23</v>
      </c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</row>
    <row r="43" spans="1:35" x14ac:dyDescent="0.35">
      <c r="A43" s="9">
        <v>41</v>
      </c>
      <c r="B43" s="10">
        <v>3</v>
      </c>
      <c r="C43" s="10" t="s">
        <v>183</v>
      </c>
      <c r="D43" s="11" t="s">
        <v>184</v>
      </c>
      <c r="E43" s="11" t="s">
        <v>19</v>
      </c>
      <c r="F43" s="10">
        <v>7905481507</v>
      </c>
      <c r="G43" s="12" t="s">
        <v>185</v>
      </c>
      <c r="H43" s="11" t="s">
        <v>34</v>
      </c>
      <c r="I43" s="13" t="str">
        <f t="shared" si="0"/>
        <v>NAVUDU TEJESH</v>
      </c>
      <c r="J43" s="10">
        <v>4584578764</v>
      </c>
      <c r="K43" s="11" t="s">
        <v>186</v>
      </c>
      <c r="L43" s="11">
        <v>18</v>
      </c>
      <c r="M43" s="10" t="s">
        <v>23</v>
      </c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</row>
    <row r="44" spans="1:35" x14ac:dyDescent="0.35">
      <c r="A44" s="9">
        <v>42</v>
      </c>
      <c r="B44" s="10">
        <v>2</v>
      </c>
      <c r="C44" s="10" t="s">
        <v>187</v>
      </c>
      <c r="D44" s="11" t="s">
        <v>188</v>
      </c>
      <c r="E44" s="11" t="s">
        <v>19</v>
      </c>
      <c r="F44" s="10">
        <v>5681445328</v>
      </c>
      <c r="G44" s="12" t="s">
        <v>189</v>
      </c>
      <c r="H44" s="11" t="s">
        <v>21</v>
      </c>
      <c r="I44" s="13" t="str">
        <f t="shared" si="0"/>
        <v>PALLEY SHRAVANI</v>
      </c>
      <c r="J44" s="10">
        <v>7661428150</v>
      </c>
      <c r="K44" s="14">
        <v>38337</v>
      </c>
      <c r="L44" s="11">
        <v>19</v>
      </c>
      <c r="M44" s="10" t="s">
        <v>23</v>
      </c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</row>
    <row r="45" spans="1:35" x14ac:dyDescent="0.35">
      <c r="A45" s="9">
        <v>43</v>
      </c>
      <c r="B45" s="10">
        <v>2</v>
      </c>
      <c r="C45" s="10" t="s">
        <v>190</v>
      </c>
      <c r="D45" s="11" t="s">
        <v>191</v>
      </c>
      <c r="E45" s="11" t="s">
        <v>28</v>
      </c>
      <c r="F45" s="10">
        <v>1576469041</v>
      </c>
      <c r="G45" s="12" t="s">
        <v>192</v>
      </c>
      <c r="H45" s="11" t="s">
        <v>34</v>
      </c>
      <c r="I45" s="13" t="str">
        <f t="shared" si="0"/>
        <v>PAPAKANTI RAJU</v>
      </c>
      <c r="J45" s="10">
        <v>3324864700</v>
      </c>
      <c r="K45" s="11" t="s">
        <v>193</v>
      </c>
      <c r="L45" s="11">
        <v>22</v>
      </c>
      <c r="M45" s="10" t="s">
        <v>23</v>
      </c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</row>
    <row r="46" spans="1:35" x14ac:dyDescent="0.35">
      <c r="A46" s="9">
        <v>44</v>
      </c>
      <c r="B46" s="10">
        <v>2</v>
      </c>
      <c r="C46" s="10" t="s">
        <v>194</v>
      </c>
      <c r="D46" s="11" t="s">
        <v>195</v>
      </c>
      <c r="E46" s="11" t="s">
        <v>28</v>
      </c>
      <c r="F46" s="10">
        <v>7244391357</v>
      </c>
      <c r="G46" s="12" t="s">
        <v>196</v>
      </c>
      <c r="H46" s="11" t="s">
        <v>34</v>
      </c>
      <c r="I46" s="13" t="str">
        <f t="shared" si="0"/>
        <v>PRATAPAGIRI NEELAKANTA SASTRY</v>
      </c>
      <c r="J46" s="10">
        <v>1344765434</v>
      </c>
      <c r="K46" s="11" t="s">
        <v>197</v>
      </c>
      <c r="L46" s="11">
        <v>24</v>
      </c>
      <c r="M46" s="10" t="s">
        <v>23</v>
      </c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</row>
    <row r="47" spans="1:35" x14ac:dyDescent="0.35">
      <c r="A47" s="9">
        <v>45</v>
      </c>
      <c r="B47" s="10">
        <v>1</v>
      </c>
      <c r="C47" s="10" t="s">
        <v>198</v>
      </c>
      <c r="D47" s="11" t="s">
        <v>199</v>
      </c>
      <c r="E47" s="11" t="s">
        <v>28</v>
      </c>
      <c r="F47" s="10">
        <v>5713887644</v>
      </c>
      <c r="G47" s="12" t="s">
        <v>200</v>
      </c>
      <c r="H47" s="11" t="s">
        <v>34</v>
      </c>
      <c r="I47" s="13" t="str">
        <f t="shared" si="0"/>
        <v>PRAVEEN RAJPOOT</v>
      </c>
      <c r="J47" s="10">
        <v>8922958342</v>
      </c>
      <c r="K47" s="11" t="s">
        <v>201</v>
      </c>
      <c r="L47" s="11">
        <v>19</v>
      </c>
      <c r="M47" s="10" t="s">
        <v>23</v>
      </c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</row>
    <row r="48" spans="1:35" x14ac:dyDescent="0.35">
      <c r="A48" s="9">
        <v>46</v>
      </c>
      <c r="B48" s="10">
        <v>2</v>
      </c>
      <c r="C48" s="10" t="s">
        <v>202</v>
      </c>
      <c r="D48" s="11" t="s">
        <v>203</v>
      </c>
      <c r="E48" s="11" t="s">
        <v>19</v>
      </c>
      <c r="F48" s="10">
        <v>4360003876</v>
      </c>
      <c r="G48" s="12" t="s">
        <v>204</v>
      </c>
      <c r="H48" s="11" t="s">
        <v>34</v>
      </c>
      <c r="I48" s="13" t="str">
        <f t="shared" si="0"/>
        <v>R. VIGNESH</v>
      </c>
      <c r="J48" s="10">
        <v>6311928736</v>
      </c>
      <c r="K48" s="11" t="s">
        <v>205</v>
      </c>
      <c r="L48" s="11">
        <v>19</v>
      </c>
      <c r="M48" s="10" t="s">
        <v>23</v>
      </c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</row>
    <row r="49" spans="1:35" x14ac:dyDescent="0.35">
      <c r="A49" s="9">
        <v>47</v>
      </c>
      <c r="B49" s="10">
        <v>2</v>
      </c>
      <c r="C49" s="10" t="s">
        <v>206</v>
      </c>
      <c r="D49" s="11" t="s">
        <v>207</v>
      </c>
      <c r="E49" s="11" t="s">
        <v>28</v>
      </c>
      <c r="F49" s="10">
        <v>6232183694</v>
      </c>
      <c r="G49" s="12" t="s">
        <v>208</v>
      </c>
      <c r="H49" s="11" t="s">
        <v>34</v>
      </c>
      <c r="I49" s="13" t="str">
        <f t="shared" si="0"/>
        <v>RACHAMANDUGU AJAYKUMAR</v>
      </c>
      <c r="J49" s="10">
        <v>1358146481</v>
      </c>
      <c r="K49" s="11" t="s">
        <v>209</v>
      </c>
      <c r="L49" s="11">
        <v>19</v>
      </c>
      <c r="M49" s="10" t="s">
        <v>23</v>
      </c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</row>
    <row r="50" spans="1:35" x14ac:dyDescent="0.35">
      <c r="A50" s="9">
        <v>48</v>
      </c>
      <c r="B50" s="10">
        <v>3</v>
      </c>
      <c r="C50" s="10" t="s">
        <v>210</v>
      </c>
      <c r="D50" s="11" t="s">
        <v>211</v>
      </c>
      <c r="E50" s="11" t="s">
        <v>28</v>
      </c>
      <c r="F50" s="10">
        <v>6682877186</v>
      </c>
      <c r="G50" s="12" t="s">
        <v>212</v>
      </c>
      <c r="H50" s="11" t="s">
        <v>21</v>
      </c>
      <c r="I50" s="13" t="str">
        <f t="shared" si="0"/>
        <v>REVALLI NAGESHWARI</v>
      </c>
      <c r="J50" s="10">
        <v>7997007047</v>
      </c>
      <c r="K50" s="11" t="s">
        <v>213</v>
      </c>
      <c r="L50" s="11">
        <v>20</v>
      </c>
      <c r="M50" s="10" t="s">
        <v>24</v>
      </c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</row>
    <row r="51" spans="1:35" x14ac:dyDescent="0.35">
      <c r="A51" s="9">
        <v>49</v>
      </c>
      <c r="B51" s="10">
        <v>3</v>
      </c>
      <c r="C51" s="10" t="s">
        <v>214</v>
      </c>
      <c r="D51" s="11" t="s">
        <v>215</v>
      </c>
      <c r="E51" s="11" t="s">
        <v>19</v>
      </c>
      <c r="F51" s="10">
        <v>8911831176</v>
      </c>
      <c r="G51" s="12" t="s">
        <v>216</v>
      </c>
      <c r="H51" s="11" t="s">
        <v>34</v>
      </c>
      <c r="I51" s="13" t="str">
        <f t="shared" si="0"/>
        <v>ROHIT REDDY</v>
      </c>
      <c r="J51" s="10">
        <v>6665134788</v>
      </c>
      <c r="K51" s="11" t="s">
        <v>217</v>
      </c>
      <c r="L51" s="11">
        <v>18</v>
      </c>
      <c r="M51" s="10" t="s">
        <v>23</v>
      </c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</row>
    <row r="52" spans="1:35" x14ac:dyDescent="0.35">
      <c r="A52" s="9">
        <v>50</v>
      </c>
      <c r="B52" s="10">
        <v>3</v>
      </c>
      <c r="C52" s="10" t="s">
        <v>218</v>
      </c>
      <c r="D52" s="11" t="s">
        <v>219</v>
      </c>
      <c r="E52" s="11" t="s">
        <v>28</v>
      </c>
      <c r="F52" s="10">
        <v>5328455783</v>
      </c>
      <c r="G52" s="12" t="s">
        <v>220</v>
      </c>
      <c r="H52" s="11" t="s">
        <v>21</v>
      </c>
      <c r="I52" s="13" t="str">
        <f t="shared" si="0"/>
        <v>RUCHI RANJAN</v>
      </c>
      <c r="J52" s="10">
        <v>1065242166</v>
      </c>
      <c r="K52" s="11" t="s">
        <v>221</v>
      </c>
      <c r="L52" s="11">
        <v>18</v>
      </c>
      <c r="M52" s="10" t="s">
        <v>24</v>
      </c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</row>
    <row r="53" spans="1:35" x14ac:dyDescent="0.35">
      <c r="A53" s="9">
        <v>51</v>
      </c>
      <c r="B53" s="10">
        <v>1</v>
      </c>
      <c r="C53" s="10" t="s">
        <v>222</v>
      </c>
      <c r="D53" s="11" t="s">
        <v>223</v>
      </c>
      <c r="E53" s="11" t="s">
        <v>19</v>
      </c>
      <c r="F53" s="10">
        <v>4825148027</v>
      </c>
      <c r="G53" s="12" t="s">
        <v>224</v>
      </c>
      <c r="H53" s="11" t="s">
        <v>34</v>
      </c>
      <c r="I53" s="13" t="str">
        <f t="shared" si="0"/>
        <v>SHAIK FAHAD</v>
      </c>
      <c r="J53" s="10">
        <v>1828010878</v>
      </c>
      <c r="K53" s="11" t="s">
        <v>225</v>
      </c>
      <c r="L53" s="11">
        <v>19</v>
      </c>
      <c r="M53" s="10" t="s">
        <v>23</v>
      </c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</row>
    <row r="54" spans="1:35" x14ac:dyDescent="0.35">
      <c r="A54" s="9">
        <v>52</v>
      </c>
      <c r="B54" s="10">
        <v>3</v>
      </c>
      <c r="C54" s="10" t="s">
        <v>226</v>
      </c>
      <c r="D54" s="11" t="s">
        <v>227</v>
      </c>
      <c r="E54" s="11" t="s">
        <v>28</v>
      </c>
      <c r="F54" s="10">
        <v>3228331930</v>
      </c>
      <c r="G54" s="12" t="s">
        <v>228</v>
      </c>
      <c r="H54" s="11" t="s">
        <v>34</v>
      </c>
      <c r="I54" s="13" t="str">
        <f t="shared" si="0"/>
        <v>SHAIK SAMEER AHMED</v>
      </c>
      <c r="J54" s="10">
        <v>6717092554</v>
      </c>
      <c r="K54" s="11" t="s">
        <v>229</v>
      </c>
      <c r="L54" s="11">
        <v>20</v>
      </c>
      <c r="M54" s="10" t="s">
        <v>24</v>
      </c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</row>
    <row r="55" spans="1:35" x14ac:dyDescent="0.35">
      <c r="A55" s="9">
        <v>53</v>
      </c>
      <c r="B55" s="10">
        <v>1</v>
      </c>
      <c r="C55" s="10" t="s">
        <v>230</v>
      </c>
      <c r="D55" s="11" t="s">
        <v>231</v>
      </c>
      <c r="E55" s="11" t="s">
        <v>28</v>
      </c>
      <c r="F55" s="10">
        <v>7158666834</v>
      </c>
      <c r="G55" s="12" t="s">
        <v>232</v>
      </c>
      <c r="H55" s="11" t="s">
        <v>34</v>
      </c>
      <c r="I55" s="13" t="str">
        <f t="shared" si="0"/>
        <v>SHEJUL BALAJI RAMESHWAR</v>
      </c>
      <c r="J55" s="10">
        <v>7178012275</v>
      </c>
      <c r="K55" s="11" t="s">
        <v>233</v>
      </c>
      <c r="L55" s="11">
        <v>20</v>
      </c>
      <c r="M55" s="10" t="s">
        <v>23</v>
      </c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</row>
    <row r="56" spans="1:35" x14ac:dyDescent="0.35">
      <c r="A56" s="9">
        <v>54</v>
      </c>
      <c r="B56" s="10">
        <v>2</v>
      </c>
      <c r="C56" s="10" t="s">
        <v>234</v>
      </c>
      <c r="D56" s="11" t="s">
        <v>235</v>
      </c>
      <c r="E56" s="11" t="s">
        <v>28</v>
      </c>
      <c r="F56" s="10">
        <v>7998839021</v>
      </c>
      <c r="G56" s="12" t="s">
        <v>236</v>
      </c>
      <c r="H56" s="11" t="s">
        <v>34</v>
      </c>
      <c r="I56" s="13" t="str">
        <f t="shared" si="0"/>
        <v>SHOAIB AKHTAR</v>
      </c>
      <c r="J56" s="10">
        <v>1247692282</v>
      </c>
      <c r="K56" s="11" t="s">
        <v>237</v>
      </c>
      <c r="L56" s="11">
        <v>19</v>
      </c>
      <c r="M56" s="10" t="s">
        <v>24</v>
      </c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</row>
    <row r="57" spans="1:35" x14ac:dyDescent="0.35">
      <c r="A57" s="9">
        <v>55</v>
      </c>
      <c r="B57" s="10">
        <v>1</v>
      </c>
      <c r="C57" s="10" t="s">
        <v>238</v>
      </c>
      <c r="D57" s="11" t="s">
        <v>239</v>
      </c>
      <c r="E57" s="11" t="s">
        <v>28</v>
      </c>
      <c r="F57" s="10">
        <v>8550635195</v>
      </c>
      <c r="G57" s="12" t="s">
        <v>240</v>
      </c>
      <c r="H57" s="11" t="s">
        <v>21</v>
      </c>
      <c r="I57" s="13" t="str">
        <f t="shared" si="0"/>
        <v>SINGAM KRISHNA VENI</v>
      </c>
      <c r="J57" s="10">
        <v>8502959543</v>
      </c>
      <c r="K57" s="11" t="s">
        <v>241</v>
      </c>
      <c r="L57" s="11">
        <v>19</v>
      </c>
      <c r="M57" s="10" t="s">
        <v>23</v>
      </c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</row>
    <row r="58" spans="1:35" x14ac:dyDescent="0.35">
      <c r="A58" s="9">
        <v>56</v>
      </c>
      <c r="B58" s="10">
        <v>3</v>
      </c>
      <c r="C58" s="10" t="s">
        <v>242</v>
      </c>
      <c r="D58" s="11" t="s">
        <v>243</v>
      </c>
      <c r="E58" s="11" t="s">
        <v>28</v>
      </c>
      <c r="F58" s="10">
        <v>8733465367</v>
      </c>
      <c r="G58" s="12" t="s">
        <v>244</v>
      </c>
      <c r="H58" s="11" t="s">
        <v>21</v>
      </c>
      <c r="I58" s="13" t="str">
        <f t="shared" si="0"/>
        <v>SINGUDASU PALLAVI</v>
      </c>
      <c r="J58" s="10">
        <v>2632940404</v>
      </c>
      <c r="K58" s="11" t="s">
        <v>245</v>
      </c>
      <c r="L58" s="11">
        <v>18</v>
      </c>
      <c r="M58" s="10" t="s">
        <v>24</v>
      </c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</row>
    <row r="59" spans="1:35" x14ac:dyDescent="0.35">
      <c r="A59" s="9">
        <v>57</v>
      </c>
      <c r="B59" s="10">
        <v>3</v>
      </c>
      <c r="C59" s="10" t="s">
        <v>246</v>
      </c>
      <c r="D59" s="11" t="s">
        <v>247</v>
      </c>
      <c r="E59" s="11" t="s">
        <v>19</v>
      </c>
      <c r="F59" s="10">
        <v>6153044829</v>
      </c>
      <c r="G59" s="12" t="s">
        <v>248</v>
      </c>
      <c r="H59" s="11" t="s">
        <v>34</v>
      </c>
      <c r="I59" s="13" t="str">
        <f t="shared" si="0"/>
        <v>SUBHASHIS PAL</v>
      </c>
      <c r="J59" s="10">
        <v>4599123031</v>
      </c>
      <c r="K59" s="11" t="s">
        <v>249</v>
      </c>
      <c r="L59" s="11">
        <v>19</v>
      </c>
      <c r="M59" s="10" t="s">
        <v>23</v>
      </c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</row>
    <row r="60" spans="1:35" x14ac:dyDescent="0.35">
      <c r="A60" s="9">
        <v>58</v>
      </c>
      <c r="B60" s="10">
        <v>3</v>
      </c>
      <c r="C60" s="10" t="s">
        <v>250</v>
      </c>
      <c r="D60" s="11" t="s">
        <v>251</v>
      </c>
      <c r="E60" s="11" t="s">
        <v>28</v>
      </c>
      <c r="F60" s="10">
        <v>4496254693</v>
      </c>
      <c r="G60" s="12" t="s">
        <v>252</v>
      </c>
      <c r="H60" s="11" t="s">
        <v>34</v>
      </c>
      <c r="I60" s="13" t="str">
        <f t="shared" si="0"/>
        <v>SUJEET KUMAR</v>
      </c>
      <c r="J60" s="10">
        <v>8291504175</v>
      </c>
      <c r="K60" s="11" t="s">
        <v>253</v>
      </c>
      <c r="L60" s="11">
        <v>18</v>
      </c>
      <c r="M60" s="10" t="s">
        <v>24</v>
      </c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</row>
    <row r="61" spans="1:35" x14ac:dyDescent="0.35">
      <c r="A61" s="9">
        <v>59</v>
      </c>
      <c r="B61" s="10">
        <v>1</v>
      </c>
      <c r="C61" s="10" t="s">
        <v>254</v>
      </c>
      <c r="D61" s="11" t="s">
        <v>255</v>
      </c>
      <c r="E61" s="11" t="s">
        <v>28</v>
      </c>
      <c r="F61" s="10">
        <v>2881088394</v>
      </c>
      <c r="G61" s="12" t="s">
        <v>256</v>
      </c>
      <c r="H61" s="11" t="s">
        <v>21</v>
      </c>
      <c r="I61" s="13" t="str">
        <f t="shared" si="0"/>
        <v>SURUCHI RANJAN</v>
      </c>
      <c r="J61" s="10">
        <v>7766204724</v>
      </c>
      <c r="K61" s="11" t="s">
        <v>221</v>
      </c>
      <c r="L61" s="11">
        <v>18</v>
      </c>
      <c r="M61" s="10" t="s">
        <v>25</v>
      </c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</row>
    <row r="62" spans="1:35" x14ac:dyDescent="0.35">
      <c r="A62" s="9">
        <v>60</v>
      </c>
      <c r="B62" s="10">
        <v>3</v>
      </c>
      <c r="C62" s="10" t="s">
        <v>257</v>
      </c>
      <c r="D62" s="11" t="s">
        <v>258</v>
      </c>
      <c r="E62" s="11" t="s">
        <v>19</v>
      </c>
      <c r="F62" s="10">
        <v>3401449282</v>
      </c>
      <c r="G62" s="12" t="s">
        <v>259</v>
      </c>
      <c r="H62" s="11" t="s">
        <v>34</v>
      </c>
      <c r="I62" s="13" t="str">
        <f t="shared" si="0"/>
        <v>SUVENDU KHATUA</v>
      </c>
      <c r="J62" s="10">
        <v>8342344652</v>
      </c>
      <c r="K62" s="11" t="s">
        <v>260</v>
      </c>
      <c r="L62" s="11">
        <v>19</v>
      </c>
      <c r="M62" s="10" t="s">
        <v>25</v>
      </c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</row>
    <row r="63" spans="1:35" x14ac:dyDescent="0.35">
      <c r="A63" s="9">
        <v>61</v>
      </c>
      <c r="B63" s="10">
        <v>2</v>
      </c>
      <c r="C63" s="10" t="s">
        <v>261</v>
      </c>
      <c r="D63" s="11" t="s">
        <v>262</v>
      </c>
      <c r="E63" s="11" t="s">
        <v>28</v>
      </c>
      <c r="F63" s="10">
        <v>4405995363</v>
      </c>
      <c r="G63" s="12" t="s">
        <v>263</v>
      </c>
      <c r="H63" s="11" t="s">
        <v>34</v>
      </c>
      <c r="I63" s="13" t="str">
        <f t="shared" si="0"/>
        <v>SYED ABDUL HAKEEM</v>
      </c>
      <c r="J63" s="10">
        <v>7443835432</v>
      </c>
      <c r="K63" s="11" t="s">
        <v>264</v>
      </c>
      <c r="L63" s="11">
        <v>19</v>
      </c>
      <c r="M63" s="10" t="s">
        <v>25</v>
      </c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</row>
    <row r="64" spans="1:35" x14ac:dyDescent="0.35">
      <c r="A64" s="9">
        <v>62</v>
      </c>
      <c r="B64" s="10">
        <v>3</v>
      </c>
      <c r="C64" s="10" t="s">
        <v>265</v>
      </c>
      <c r="D64" s="11" t="s">
        <v>266</v>
      </c>
      <c r="E64" s="11" t="s">
        <v>28</v>
      </c>
      <c r="F64" s="10">
        <v>2219599156</v>
      </c>
      <c r="G64" s="12" t="s">
        <v>267</v>
      </c>
      <c r="H64" s="11" t="s">
        <v>34</v>
      </c>
      <c r="I64" s="13" t="str">
        <f t="shared" si="0"/>
        <v>SYED ABDUL HALEEM</v>
      </c>
      <c r="J64" s="10">
        <v>8853631789</v>
      </c>
      <c r="K64" s="11" t="s">
        <v>264</v>
      </c>
      <c r="L64" s="11">
        <v>19</v>
      </c>
      <c r="M64" s="10" t="s">
        <v>25</v>
      </c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</row>
    <row r="65" spans="1:35" x14ac:dyDescent="0.35">
      <c r="A65" s="9">
        <v>63</v>
      </c>
      <c r="B65" s="10">
        <v>2</v>
      </c>
      <c r="C65" s="10" t="s">
        <v>268</v>
      </c>
      <c r="D65" s="11" t="s">
        <v>269</v>
      </c>
      <c r="E65" s="11" t="s">
        <v>19</v>
      </c>
      <c r="F65" s="10">
        <v>3482112190</v>
      </c>
      <c r="G65" s="12" t="s">
        <v>270</v>
      </c>
      <c r="H65" s="11" t="s">
        <v>34</v>
      </c>
      <c r="I65" s="13" t="str">
        <f t="shared" si="0"/>
        <v>SYED ADIL</v>
      </c>
      <c r="J65" s="10">
        <v>1753557010</v>
      </c>
      <c r="K65" s="11" t="s">
        <v>271</v>
      </c>
      <c r="L65" s="11">
        <v>17</v>
      </c>
      <c r="M65" s="10" t="s">
        <v>25</v>
      </c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</row>
    <row r="66" spans="1:35" x14ac:dyDescent="0.35">
      <c r="A66" s="9">
        <v>64</v>
      </c>
      <c r="B66" s="10">
        <v>1</v>
      </c>
      <c r="C66" s="10" t="s">
        <v>272</v>
      </c>
      <c r="D66" s="11" t="s">
        <v>273</v>
      </c>
      <c r="E66" s="11" t="s">
        <v>28</v>
      </c>
      <c r="F66" s="10">
        <v>8411360361</v>
      </c>
      <c r="G66" s="12" t="s">
        <v>274</v>
      </c>
      <c r="H66" s="11" t="s">
        <v>34</v>
      </c>
      <c r="I66" s="13" t="str">
        <f t="shared" si="0"/>
        <v>VELUPULA SUNIL KUMAR</v>
      </c>
      <c r="J66" s="10">
        <v>2016736479</v>
      </c>
      <c r="K66" s="11" t="s">
        <v>275</v>
      </c>
      <c r="L66" s="11">
        <v>20</v>
      </c>
      <c r="M66" s="10" t="s">
        <v>25</v>
      </c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</row>
    <row r="67" spans="1:35" ht="15.5" x14ac:dyDescent="0.35">
      <c r="A67" s="9">
        <v>65</v>
      </c>
      <c r="B67" s="10">
        <v>2</v>
      </c>
      <c r="C67" s="10" t="s">
        <v>276</v>
      </c>
      <c r="D67" s="15" t="s">
        <v>277</v>
      </c>
      <c r="E67" s="15" t="s">
        <v>19</v>
      </c>
      <c r="F67" s="10">
        <v>2842414479</v>
      </c>
      <c r="G67" s="12" t="s">
        <v>278</v>
      </c>
      <c r="H67" s="15" t="s">
        <v>34</v>
      </c>
      <c r="I67" s="13" t="str">
        <f t="shared" si="0"/>
        <v>BALA CHARY</v>
      </c>
      <c r="J67" s="10">
        <v>4761178323</v>
      </c>
      <c r="K67" s="11" t="s">
        <v>279</v>
      </c>
      <c r="L67" s="11">
        <v>18</v>
      </c>
      <c r="M67" s="10" t="s">
        <v>23</v>
      </c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</row>
    <row r="68" spans="1:35" ht="15.5" x14ac:dyDescent="0.35">
      <c r="A68" s="9">
        <v>66</v>
      </c>
      <c r="B68" s="10">
        <v>2</v>
      </c>
      <c r="C68" s="10" t="s">
        <v>280</v>
      </c>
      <c r="D68" s="15" t="s">
        <v>281</v>
      </c>
      <c r="E68" s="15" t="s">
        <v>28</v>
      </c>
      <c r="F68" s="10">
        <v>5876113945</v>
      </c>
      <c r="G68" s="12" t="s">
        <v>282</v>
      </c>
      <c r="H68" s="15" t="s">
        <v>21</v>
      </c>
      <c r="I68" s="13" t="str">
        <f t="shared" ref="I68:I82" si="1">D68</f>
        <v>BANDARI SRUJANA</v>
      </c>
      <c r="J68" s="10">
        <v>3607697190</v>
      </c>
      <c r="K68" s="11" t="s">
        <v>283</v>
      </c>
      <c r="L68" s="11">
        <v>18</v>
      </c>
      <c r="M68" s="10" t="s">
        <v>23</v>
      </c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</row>
    <row r="69" spans="1:35" ht="15.5" x14ac:dyDescent="0.35">
      <c r="A69" s="9">
        <v>67</v>
      </c>
      <c r="B69" s="10">
        <v>2</v>
      </c>
      <c r="C69" s="10" t="s">
        <v>284</v>
      </c>
      <c r="D69" s="15" t="s">
        <v>285</v>
      </c>
      <c r="E69" s="15" t="s">
        <v>28</v>
      </c>
      <c r="F69" s="10">
        <v>4273126076</v>
      </c>
      <c r="G69" s="12" t="s">
        <v>286</v>
      </c>
      <c r="H69" s="15" t="s">
        <v>34</v>
      </c>
      <c r="I69" s="13" t="str">
        <f t="shared" si="1"/>
        <v>DURGA PRASAD</v>
      </c>
      <c r="J69" s="10">
        <v>6389348959</v>
      </c>
      <c r="K69" s="11" t="s">
        <v>287</v>
      </c>
      <c r="L69" s="11">
        <v>21</v>
      </c>
      <c r="M69" s="10" t="s">
        <v>23</v>
      </c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</row>
    <row r="70" spans="1:35" ht="15.5" x14ac:dyDescent="0.35">
      <c r="A70" s="9">
        <v>68</v>
      </c>
      <c r="B70" s="10">
        <v>3</v>
      </c>
      <c r="C70" s="10" t="s">
        <v>288</v>
      </c>
      <c r="D70" s="15" t="s">
        <v>289</v>
      </c>
      <c r="E70" s="15" t="s">
        <v>28</v>
      </c>
      <c r="F70" s="10">
        <v>8077085042</v>
      </c>
      <c r="G70" s="12" t="s">
        <v>290</v>
      </c>
      <c r="H70" s="15" t="s">
        <v>21</v>
      </c>
      <c r="I70" s="13" t="str">
        <f t="shared" si="1"/>
        <v>K PAVANI</v>
      </c>
      <c r="J70" s="10">
        <v>1974312194</v>
      </c>
      <c r="K70" s="11" t="s">
        <v>291</v>
      </c>
      <c r="L70" s="11">
        <v>25</v>
      </c>
      <c r="M70" s="10" t="s">
        <v>23</v>
      </c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</row>
    <row r="71" spans="1:35" ht="15.5" x14ac:dyDescent="0.35">
      <c r="A71" s="9">
        <v>69</v>
      </c>
      <c r="B71" s="10">
        <v>3</v>
      </c>
      <c r="C71" s="10" t="s">
        <v>292</v>
      </c>
      <c r="D71" s="15" t="s">
        <v>293</v>
      </c>
      <c r="E71" s="15" t="s">
        <v>19</v>
      </c>
      <c r="F71" s="10">
        <v>8112643867</v>
      </c>
      <c r="G71" s="12" t="s">
        <v>294</v>
      </c>
      <c r="H71" s="15" t="s">
        <v>34</v>
      </c>
      <c r="I71" s="13" t="str">
        <f t="shared" si="1"/>
        <v>M KOMAL RAJ</v>
      </c>
      <c r="J71" s="10">
        <v>2321672644</v>
      </c>
      <c r="K71" s="15" t="s">
        <v>209</v>
      </c>
      <c r="L71" s="11">
        <v>19</v>
      </c>
      <c r="M71" s="10" t="s">
        <v>23</v>
      </c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</row>
    <row r="72" spans="1:35" ht="15.5" x14ac:dyDescent="0.35">
      <c r="A72" s="9">
        <v>70</v>
      </c>
      <c r="B72" s="10">
        <v>3</v>
      </c>
      <c r="C72" s="10" t="s">
        <v>295</v>
      </c>
      <c r="D72" s="15" t="s">
        <v>296</v>
      </c>
      <c r="E72" s="15" t="s">
        <v>28</v>
      </c>
      <c r="F72" s="10">
        <v>3685782386</v>
      </c>
      <c r="G72" s="12" t="s">
        <v>297</v>
      </c>
      <c r="H72" s="15" t="s">
        <v>21</v>
      </c>
      <c r="I72" s="13" t="str">
        <f t="shared" si="1"/>
        <v>MEDI SANGEETHA</v>
      </c>
      <c r="J72" s="10">
        <v>3097051248</v>
      </c>
      <c r="K72" s="11" t="s">
        <v>103</v>
      </c>
      <c r="L72" s="11">
        <v>17</v>
      </c>
      <c r="M72" s="10" t="s">
        <v>23</v>
      </c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</row>
    <row r="73" spans="1:35" ht="15.5" x14ac:dyDescent="0.35">
      <c r="A73" s="9">
        <v>71</v>
      </c>
      <c r="B73" s="10">
        <v>1</v>
      </c>
      <c r="C73" s="10" t="s">
        <v>298</v>
      </c>
      <c r="D73" s="15" t="s">
        <v>299</v>
      </c>
      <c r="E73" s="15" t="s">
        <v>28</v>
      </c>
      <c r="F73" s="10">
        <v>6205596324</v>
      </c>
      <c r="G73" s="12" t="s">
        <v>300</v>
      </c>
      <c r="H73" s="15" t="s">
        <v>34</v>
      </c>
      <c r="I73" s="13" t="str">
        <f t="shared" si="1"/>
        <v>N.PARAMESH</v>
      </c>
      <c r="J73" s="10">
        <v>7432877225</v>
      </c>
      <c r="K73" s="11" t="s">
        <v>301</v>
      </c>
      <c r="L73" s="11">
        <v>19</v>
      </c>
      <c r="M73" s="10" t="s">
        <v>23</v>
      </c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</row>
    <row r="74" spans="1:35" ht="15.5" x14ac:dyDescent="0.35">
      <c r="A74" s="9">
        <v>72</v>
      </c>
      <c r="B74" s="10">
        <v>2</v>
      </c>
      <c r="C74" s="10" t="s">
        <v>302</v>
      </c>
      <c r="D74" s="15" t="s">
        <v>303</v>
      </c>
      <c r="E74" s="15" t="s">
        <v>19</v>
      </c>
      <c r="F74" s="10">
        <v>6578497608</v>
      </c>
      <c r="G74" s="12" t="s">
        <v>304</v>
      </c>
      <c r="H74" s="15" t="s">
        <v>34</v>
      </c>
      <c r="I74" s="13" t="str">
        <f t="shared" si="1"/>
        <v>NAGA CHANDU V</v>
      </c>
      <c r="J74" s="10">
        <v>5642578679</v>
      </c>
      <c r="K74" s="11" t="s">
        <v>305</v>
      </c>
      <c r="L74" s="11">
        <v>21</v>
      </c>
      <c r="M74" s="10" t="s">
        <v>23</v>
      </c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</row>
    <row r="75" spans="1:35" ht="15.5" x14ac:dyDescent="0.35">
      <c r="A75" s="9">
        <v>73</v>
      </c>
      <c r="B75" s="10">
        <v>3</v>
      </c>
      <c r="C75" s="10" t="s">
        <v>306</v>
      </c>
      <c r="D75" s="15" t="s">
        <v>307</v>
      </c>
      <c r="E75" s="15" t="s">
        <v>28</v>
      </c>
      <c r="F75" s="10">
        <v>2602080020</v>
      </c>
      <c r="G75" s="12" t="s">
        <v>308</v>
      </c>
      <c r="H75" s="15" t="s">
        <v>34</v>
      </c>
      <c r="I75" s="13" t="str">
        <f t="shared" si="1"/>
        <v>S SAMEER</v>
      </c>
      <c r="J75" s="10">
        <v>2992121341</v>
      </c>
      <c r="K75" s="11" t="s">
        <v>309</v>
      </c>
      <c r="L75" s="11">
        <v>19</v>
      </c>
      <c r="M75" s="10" t="s">
        <v>23</v>
      </c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</row>
    <row r="76" spans="1:35" ht="15.5" x14ac:dyDescent="0.35">
      <c r="A76" s="9">
        <v>74</v>
      </c>
      <c r="B76" s="10">
        <v>3</v>
      </c>
      <c r="C76" s="10" t="s">
        <v>310</v>
      </c>
      <c r="D76" s="15" t="s">
        <v>311</v>
      </c>
      <c r="E76" s="15" t="s">
        <v>19</v>
      </c>
      <c r="F76" s="10">
        <v>8796416295</v>
      </c>
      <c r="G76" s="12" t="s">
        <v>312</v>
      </c>
      <c r="H76" s="15" t="s">
        <v>34</v>
      </c>
      <c r="I76" s="13" t="str">
        <f t="shared" si="1"/>
        <v>SALVADI VENKATESH</v>
      </c>
      <c r="J76" s="10">
        <v>2449128279</v>
      </c>
      <c r="K76" s="11" t="s">
        <v>313</v>
      </c>
      <c r="L76" s="11">
        <v>21</v>
      </c>
      <c r="M76" s="10" t="s">
        <v>23</v>
      </c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</row>
    <row r="77" spans="1:35" ht="15.5" x14ac:dyDescent="0.35">
      <c r="A77" s="9">
        <v>75</v>
      </c>
      <c r="B77" s="10">
        <v>3</v>
      </c>
      <c r="C77" s="10" t="s">
        <v>314</v>
      </c>
      <c r="D77" s="15" t="s">
        <v>315</v>
      </c>
      <c r="E77" s="15" t="s">
        <v>19</v>
      </c>
      <c r="F77" s="10">
        <v>5978571640</v>
      </c>
      <c r="G77" s="12" t="s">
        <v>316</v>
      </c>
      <c r="H77" s="15" t="s">
        <v>34</v>
      </c>
      <c r="I77" s="13" t="str">
        <f t="shared" si="1"/>
        <v>UPPUNUTHALA PURUSHOTHAM</v>
      </c>
      <c r="J77" s="10">
        <v>1331878499</v>
      </c>
      <c r="K77" s="11" t="s">
        <v>317</v>
      </c>
      <c r="L77" s="11">
        <v>17</v>
      </c>
      <c r="M77" s="10" t="s">
        <v>23</v>
      </c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</row>
    <row r="78" spans="1:35" ht="15.5" x14ac:dyDescent="0.35">
      <c r="A78" s="9">
        <v>76</v>
      </c>
      <c r="B78" s="10">
        <v>3</v>
      </c>
      <c r="C78" s="10" t="s">
        <v>318</v>
      </c>
      <c r="D78" s="15" t="s">
        <v>319</v>
      </c>
      <c r="E78" s="15" t="s">
        <v>28</v>
      </c>
      <c r="F78" s="10">
        <v>5716170881</v>
      </c>
      <c r="G78" s="12" t="s">
        <v>320</v>
      </c>
      <c r="H78" s="15" t="s">
        <v>34</v>
      </c>
      <c r="I78" s="13" t="str">
        <f t="shared" si="1"/>
        <v xml:space="preserve">VINAY KUMAR </v>
      </c>
      <c r="J78" s="10">
        <v>4348887066</v>
      </c>
      <c r="K78" s="11" t="s">
        <v>321</v>
      </c>
      <c r="L78" s="11">
        <v>23</v>
      </c>
      <c r="M78" s="10" t="s">
        <v>23</v>
      </c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</row>
    <row r="79" spans="1:35" ht="15.5" x14ac:dyDescent="0.35">
      <c r="A79" s="9">
        <v>77</v>
      </c>
      <c r="B79" s="10">
        <v>1</v>
      </c>
      <c r="C79" s="10" t="s">
        <v>322</v>
      </c>
      <c r="D79" s="15" t="s">
        <v>323</v>
      </c>
      <c r="E79" s="15" t="s">
        <v>28</v>
      </c>
      <c r="F79" s="10">
        <v>6927479136</v>
      </c>
      <c r="G79" s="12" t="s">
        <v>324</v>
      </c>
      <c r="H79" s="15" t="s">
        <v>21</v>
      </c>
      <c r="I79" s="13" t="str">
        <f t="shared" si="1"/>
        <v>YARRA NAVYA SAHITHI</v>
      </c>
      <c r="J79" s="10">
        <v>7539369224</v>
      </c>
      <c r="K79" s="11" t="s">
        <v>325</v>
      </c>
      <c r="L79" s="11">
        <v>21</v>
      </c>
      <c r="M79" s="10" t="s">
        <v>23</v>
      </c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</row>
    <row r="80" spans="1:35" x14ac:dyDescent="0.35">
      <c r="A80" s="9">
        <v>78</v>
      </c>
      <c r="B80" s="10">
        <v>1</v>
      </c>
      <c r="C80" s="10" t="s">
        <v>326</v>
      </c>
      <c r="D80" s="11" t="s">
        <v>327</v>
      </c>
      <c r="E80" s="11" t="s">
        <v>28</v>
      </c>
      <c r="F80" s="10">
        <v>8625176197</v>
      </c>
      <c r="G80" s="12" t="s">
        <v>328</v>
      </c>
      <c r="H80" s="11" t="s">
        <v>34</v>
      </c>
      <c r="I80" s="13" t="str">
        <f t="shared" si="1"/>
        <v>M. Aravind</v>
      </c>
      <c r="J80" s="10">
        <v>5862892304</v>
      </c>
      <c r="K80" s="14">
        <v>37126</v>
      </c>
      <c r="L80" s="11">
        <v>22</v>
      </c>
      <c r="M80" s="10" t="s">
        <v>23</v>
      </c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</row>
    <row r="81" spans="1:35" x14ac:dyDescent="0.35">
      <c r="A81" s="9">
        <v>79</v>
      </c>
      <c r="B81" s="10">
        <v>2</v>
      </c>
      <c r="C81" s="10" t="s">
        <v>329</v>
      </c>
      <c r="D81" s="11" t="s">
        <v>330</v>
      </c>
      <c r="E81" s="11" t="s">
        <v>28</v>
      </c>
      <c r="F81" s="10">
        <v>3221738150</v>
      </c>
      <c r="G81" s="12" t="s">
        <v>331</v>
      </c>
      <c r="H81" s="11" t="s">
        <v>34</v>
      </c>
      <c r="I81" s="13" t="str">
        <f t="shared" si="1"/>
        <v>Surya Kiran</v>
      </c>
      <c r="J81" s="10">
        <v>8285846370</v>
      </c>
      <c r="K81" s="14">
        <v>38010</v>
      </c>
      <c r="L81" s="11">
        <v>19</v>
      </c>
      <c r="M81" s="10" t="s">
        <v>23</v>
      </c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</row>
    <row r="82" spans="1:35" x14ac:dyDescent="0.35">
      <c r="A82" s="9">
        <v>80</v>
      </c>
      <c r="B82" s="10">
        <v>2</v>
      </c>
      <c r="C82" s="10" t="s">
        <v>332</v>
      </c>
      <c r="D82" s="11" t="s">
        <v>333</v>
      </c>
      <c r="E82" s="11" t="s">
        <v>28</v>
      </c>
      <c r="F82" s="10">
        <v>2217423855</v>
      </c>
      <c r="G82" s="12" t="s">
        <v>334</v>
      </c>
      <c r="H82" s="11" t="s">
        <v>34</v>
      </c>
      <c r="I82" s="13" t="str">
        <f t="shared" si="1"/>
        <v>B Aravind</v>
      </c>
      <c r="J82" s="10">
        <v>2592482611</v>
      </c>
      <c r="K82" s="16">
        <v>45140</v>
      </c>
      <c r="L82" s="11">
        <v>21</v>
      </c>
      <c r="M82" s="10" t="s">
        <v>23</v>
      </c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</row>
    <row r="83" spans="1:35" x14ac:dyDescent="0.35">
      <c r="A83" s="1"/>
      <c r="B83" s="2"/>
      <c r="C83" s="3">
        <v>123</v>
      </c>
      <c r="D83" s="3"/>
      <c r="E83" s="3"/>
      <c r="F83" s="2"/>
      <c r="G83" s="3"/>
      <c r="H83" s="3"/>
      <c r="I83" s="3"/>
      <c r="J83" s="2"/>
      <c r="K83" s="3"/>
      <c r="L83" s="17" t="s">
        <v>335</v>
      </c>
      <c r="M83" s="9">
        <f>COUNTA(M3:M82)</f>
        <v>80</v>
      </c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</row>
    <row r="84" spans="1:35" x14ac:dyDescent="0.35">
      <c r="A84" s="1"/>
      <c r="B84" s="2"/>
      <c r="C84" s="3"/>
      <c r="D84" s="3"/>
      <c r="E84" s="3"/>
      <c r="F84" s="2"/>
      <c r="G84" s="3"/>
      <c r="H84" s="3"/>
      <c r="I84" s="3"/>
      <c r="J84" s="2"/>
      <c r="K84" s="3"/>
      <c r="L84" s="17" t="s">
        <v>336</v>
      </c>
      <c r="M84" s="9">
        <f>COUNTIF(M3:M82,"P")</f>
        <v>59</v>
      </c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</row>
    <row r="85" spans="1:35" x14ac:dyDescent="0.35">
      <c r="A85" s="1"/>
      <c r="B85" s="2"/>
      <c r="C85" s="3"/>
      <c r="D85" s="3"/>
      <c r="E85" s="3"/>
      <c r="F85" s="2"/>
      <c r="G85" s="3"/>
      <c r="H85" s="3"/>
      <c r="I85" s="3"/>
      <c r="J85" s="2"/>
      <c r="K85" s="3"/>
      <c r="L85" s="17" t="s">
        <v>337</v>
      </c>
      <c r="M85" s="9">
        <f>COUNTIF(M4:M83,"A")</f>
        <v>12</v>
      </c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</row>
    <row r="86" spans="1:35" x14ac:dyDescent="0.35">
      <c r="A86" s="1"/>
      <c r="B86" s="2"/>
      <c r="C86" s="3"/>
      <c r="D86" s="3"/>
      <c r="E86" s="3"/>
      <c r="F86" s="2"/>
      <c r="G86" s="3"/>
      <c r="H86" s="3"/>
      <c r="I86" s="3"/>
      <c r="J86" s="2"/>
      <c r="K86" s="3"/>
      <c r="L86" s="17" t="s">
        <v>338</v>
      </c>
      <c r="M86" s="9">
        <f>COUNTIF(M5:M84,"L")</f>
        <v>9</v>
      </c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</row>
  </sheetData>
  <conditionalFormatting sqref="M3">
    <cfRule type="cellIs" dxfId="8" priority="8" operator="equal">
      <formula>"A"</formula>
    </cfRule>
    <cfRule type="cellIs" dxfId="7" priority="9" operator="equal">
      <formula>"P"</formula>
    </cfRule>
  </conditionalFormatting>
  <conditionalFormatting sqref="M3">
    <cfRule type="cellIs" dxfId="6" priority="7" operator="equal">
      <formula>"L"</formula>
    </cfRule>
  </conditionalFormatting>
  <conditionalFormatting sqref="N3:AI3">
    <cfRule type="cellIs" dxfId="5" priority="5" operator="equal">
      <formula>"A"</formula>
    </cfRule>
    <cfRule type="cellIs" dxfId="4" priority="6" operator="equal">
      <formula>"P"</formula>
    </cfRule>
  </conditionalFormatting>
  <conditionalFormatting sqref="N3:AI3">
    <cfRule type="cellIs" dxfId="3" priority="4" operator="equal">
      <formula>"L"</formula>
    </cfRule>
  </conditionalFormatting>
  <conditionalFormatting sqref="M4:AI82">
    <cfRule type="cellIs" dxfId="2" priority="2" operator="equal">
      <formula>"A"</formula>
    </cfRule>
    <cfRule type="cellIs" dxfId="1" priority="3" operator="equal">
      <formula>"P"</formula>
    </cfRule>
  </conditionalFormatting>
  <conditionalFormatting sqref="M4:AI82">
    <cfRule type="cellIs" dxfId="0" priority="1" operator="equal">
      <formula>"L"</formula>
    </cfRule>
  </conditionalFormatting>
  <dataValidations count="1">
    <dataValidation type="list" allowBlank="1" showInputMessage="1" showErrorMessage="1" errorTitle="Select Form the DropDown" error="Select Form the DropDown" sqref="M3:AI82" xr:uid="{09B55079-BD22-4B91-A3E4-4663332443A7}">
      <formula1>"P,A,L"</formula1>
    </dataValidation>
  </dataValidations>
  <hyperlinks>
    <hyperlink ref="G5" r:id="rId1" xr:uid="{B06A6F9F-F243-4A9E-892C-15A8970DDB8B}"/>
    <hyperlink ref="G3" r:id="rId2" xr:uid="{AB1D0F2A-B73B-493C-B45C-57E6E3FA29A5}"/>
    <hyperlink ref="G4" r:id="rId3" xr:uid="{EB4F9339-51FB-4B83-9A83-E17311A7DDB1}"/>
    <hyperlink ref="G6" r:id="rId4" xr:uid="{EFE7948C-4DB1-4A67-A08A-91BE465F1F5E}"/>
    <hyperlink ref="G7" r:id="rId5" xr:uid="{495C0B58-063B-4F04-A367-5063389A968F}"/>
    <hyperlink ref="G8" r:id="rId6" xr:uid="{0AB4F7FA-D4D8-4668-81EC-67F646B8C3DA}"/>
    <hyperlink ref="G9" r:id="rId7" xr:uid="{DF44AB3F-30D6-415B-9AA5-04F519762952}"/>
    <hyperlink ref="G10" r:id="rId8" xr:uid="{682B47A7-1E11-4BAF-9848-3F8FBD3ECA43}"/>
    <hyperlink ref="G11" r:id="rId9" xr:uid="{4E870CF2-3737-40FA-99F2-9C8DEF241C40}"/>
    <hyperlink ref="G12" r:id="rId10" xr:uid="{9AA48BBD-7096-4F18-B7E9-17684C06823B}"/>
    <hyperlink ref="G13" r:id="rId11" xr:uid="{720D956C-479E-42C1-9BAA-B105335B0472}"/>
    <hyperlink ref="G14" r:id="rId12" xr:uid="{4F18CF70-3516-4936-823C-C457D1F06362}"/>
    <hyperlink ref="G15" r:id="rId13" xr:uid="{8A4F19C8-6262-462E-91F2-10E525BAD51C}"/>
    <hyperlink ref="G16" r:id="rId14" xr:uid="{E55FE7F9-D535-414B-9E4F-3E33076335E8}"/>
    <hyperlink ref="G17" r:id="rId15" xr:uid="{F8D69C6B-954B-4234-A59F-3831047E1720}"/>
    <hyperlink ref="G18" r:id="rId16" xr:uid="{A1AF5999-C2DA-4F2F-8661-522CD94505CB}"/>
    <hyperlink ref="G19" r:id="rId17" xr:uid="{A871DCBD-C678-4EB8-A4A4-4BE506AB2E85}"/>
    <hyperlink ref="G20" r:id="rId18" xr:uid="{D9BA399B-7468-483F-A746-CDF135CA3F25}"/>
    <hyperlink ref="G21" r:id="rId19" xr:uid="{F7B5B1D0-B17F-4937-9EDF-A444B2D29934}"/>
    <hyperlink ref="G22" r:id="rId20" xr:uid="{32A46B54-7FDE-483C-B101-E0A4AAAC5F58}"/>
    <hyperlink ref="G23" r:id="rId21" xr:uid="{BBD9AC53-E6EE-4C61-B9F6-8822ED23FC00}"/>
    <hyperlink ref="G24" r:id="rId22" xr:uid="{51BA99E2-37C1-48D2-9286-9BDFED6321C3}"/>
    <hyperlink ref="G25" r:id="rId23" xr:uid="{A6AA736E-381C-4BDC-AC66-027B6C22461A}"/>
    <hyperlink ref="G26" r:id="rId24" xr:uid="{EA6EC97A-0532-433A-9C8F-E5AF991211CE}"/>
    <hyperlink ref="G27" r:id="rId25" xr:uid="{A7A1972F-9CC2-49D1-8A4B-FEC27B1F1188}"/>
    <hyperlink ref="G28" r:id="rId26" xr:uid="{1CA2028D-ADB4-41AE-BDA8-0D716877A3D0}"/>
    <hyperlink ref="G29" r:id="rId27" xr:uid="{973A3E53-F501-4322-846F-409B4E41ACCF}"/>
    <hyperlink ref="G30" r:id="rId28" xr:uid="{8408EE17-BF4E-4932-9429-DFE9B4D1B057}"/>
    <hyperlink ref="G31" r:id="rId29" xr:uid="{32599ACB-865B-40D7-83A6-8BFF7B798DC0}"/>
    <hyperlink ref="G32" r:id="rId30" xr:uid="{581F92EC-B4B1-493E-B2B2-9E293F157927}"/>
    <hyperlink ref="G33" r:id="rId31" xr:uid="{8BE85040-E74E-42C8-9F8F-1AC2B1D0CDD5}"/>
    <hyperlink ref="G34" r:id="rId32" xr:uid="{728D4F87-4AAF-4499-8C11-C358144475D2}"/>
    <hyperlink ref="G35" r:id="rId33" xr:uid="{B8E640E5-8BB3-4B18-90BF-97F1F07A2948}"/>
    <hyperlink ref="G36" r:id="rId34" xr:uid="{B391CEA0-9665-476F-8D87-03E8EA68E65F}"/>
    <hyperlink ref="G37" r:id="rId35" xr:uid="{A00403E8-5D15-4D1F-92BC-6087B50B1B3F}"/>
    <hyperlink ref="G38" r:id="rId36" xr:uid="{BE25612A-EA52-4176-A622-72738CADC360}"/>
    <hyperlink ref="G39" r:id="rId37" xr:uid="{4B0E3DF4-0BDD-4B47-9E59-6B6EB9227E2B}"/>
    <hyperlink ref="G40" r:id="rId38" xr:uid="{876A7297-8D6A-4116-B597-8F4C8473DDAD}"/>
    <hyperlink ref="G41" r:id="rId39" xr:uid="{EA7BFCEA-7D39-4FAA-874B-34E2BFABAF0D}"/>
    <hyperlink ref="G42" r:id="rId40" xr:uid="{3BD5723A-B9EC-47E1-BD09-F7C66763D5B2}"/>
    <hyperlink ref="G43" r:id="rId41" xr:uid="{9CEEF721-0BA7-449C-AB7E-7171AC14C59A}"/>
    <hyperlink ref="G44" r:id="rId42" xr:uid="{DD1038E4-49B4-4556-8346-43D9E7BCE1EB}"/>
    <hyperlink ref="G45" r:id="rId43" xr:uid="{A3DAC8BB-796B-4AAE-AC12-A94B562564BF}"/>
    <hyperlink ref="G46" r:id="rId44" xr:uid="{DD6BFDB1-987F-47A5-88DE-C6B9C669EF68}"/>
    <hyperlink ref="G47" r:id="rId45" xr:uid="{3CBE4EE8-54DF-4A73-A615-FB9481A410B2}"/>
    <hyperlink ref="G48" r:id="rId46" xr:uid="{2E41402E-AAD6-4425-8F3E-3521E4665D89}"/>
    <hyperlink ref="G49" r:id="rId47" xr:uid="{1B09C240-2B70-44C9-99B1-08BC297BA1A2}"/>
    <hyperlink ref="G50" r:id="rId48" xr:uid="{915964CE-25B3-4528-96F8-8BA445686255}"/>
    <hyperlink ref="G51" r:id="rId49" xr:uid="{3814329B-D5E3-4000-91F6-5A9EEE592E8C}"/>
    <hyperlink ref="G52" r:id="rId50" xr:uid="{910E5F3A-3D39-42A3-8329-2486D8C4E452}"/>
    <hyperlink ref="G53" r:id="rId51" xr:uid="{067712DE-F2B3-4D6D-A65E-91F92353A549}"/>
    <hyperlink ref="G54" r:id="rId52" xr:uid="{68CDC39F-39B2-4D07-9578-2CC61DF4185D}"/>
    <hyperlink ref="G55" r:id="rId53" xr:uid="{9D957696-9145-4544-9520-FF113986ED0F}"/>
    <hyperlink ref="G56" r:id="rId54" xr:uid="{504F92B4-C923-4010-9CBF-39121B467AFC}"/>
    <hyperlink ref="G57" r:id="rId55" xr:uid="{081CECAE-8A8D-4A84-9358-41128F541606}"/>
    <hyperlink ref="G58" r:id="rId56" xr:uid="{DCF36D66-C2D7-4B78-9929-11D3E33C1ADE}"/>
    <hyperlink ref="G59" r:id="rId57" xr:uid="{AB8387FF-E88A-4889-8BE1-7A8077AB495F}"/>
    <hyperlink ref="G60" r:id="rId58" xr:uid="{3CC0BF1F-383D-4C68-B5F4-E1413247094E}"/>
    <hyperlink ref="G61" r:id="rId59" xr:uid="{E9696942-F4B7-499D-8FD8-C5D0028917E0}"/>
    <hyperlink ref="G62" r:id="rId60" xr:uid="{56AECC45-5681-459E-A67B-9635E8B4E7BE}"/>
    <hyperlink ref="G63" r:id="rId61" xr:uid="{461E15EE-0AB9-41FA-8D1C-C24BE77272B2}"/>
    <hyperlink ref="G64" r:id="rId62" xr:uid="{D1C6F0BD-AF00-4B71-B4DE-7B8C7FC47775}"/>
    <hyperlink ref="G65" r:id="rId63" xr:uid="{83D4E01F-4C18-4ECA-9BB5-E781350F2BF3}"/>
    <hyperlink ref="G66" r:id="rId64" xr:uid="{4661BABE-8A90-4AE7-B85F-8E81B9039C3D}"/>
    <hyperlink ref="G67" r:id="rId65" xr:uid="{DB440430-8D39-4CF1-83AE-E017C273E502}"/>
    <hyperlink ref="G68" r:id="rId66" xr:uid="{646CFB9C-07DA-4F0A-8CCE-EF1EBF0AF5D7}"/>
    <hyperlink ref="G69" r:id="rId67" xr:uid="{3C4951C7-36F0-4498-B149-A028B8F373F8}"/>
    <hyperlink ref="G70" r:id="rId68" xr:uid="{CD90FE65-ABA3-4785-94F6-C672A50A2CF5}"/>
    <hyperlink ref="G71" r:id="rId69" xr:uid="{6FD089D6-A618-43F4-922B-7CAA8991B016}"/>
    <hyperlink ref="G72" r:id="rId70" xr:uid="{F18ACCF1-F6F5-4FF0-954B-012F27275524}"/>
    <hyperlink ref="G73" r:id="rId71" xr:uid="{CB367056-65CC-4052-983E-06B4F2A6AAE6}"/>
    <hyperlink ref="G74" r:id="rId72" xr:uid="{B36821F0-AF66-41AC-8E2B-C2D26F670A87}"/>
    <hyperlink ref="G75" r:id="rId73" xr:uid="{08C88D12-C05C-4B1D-8617-55AA9E0DF758}"/>
    <hyperlink ref="G76" r:id="rId74" xr:uid="{9CA08A34-E303-4AEA-9189-BA0A6C45683A}"/>
    <hyperlink ref="G77" r:id="rId75" xr:uid="{ED79BD0D-02AB-432E-8C2D-8316E5C3BA7E}"/>
    <hyperlink ref="G78" r:id="rId76" xr:uid="{AF66CAB9-FC0E-4928-BEEC-7D80C9D66B0C}"/>
    <hyperlink ref="G79" r:id="rId77" xr:uid="{9111396B-6732-4516-8992-B99127E7CA5A}"/>
    <hyperlink ref="G80" r:id="rId78" xr:uid="{E148E5BB-1035-4A36-98B4-5B6F149A4BE2}"/>
    <hyperlink ref="G81" r:id="rId79" xr:uid="{D76FBC6A-CC12-4538-AC07-B20E977633B9}"/>
    <hyperlink ref="G82" r:id="rId80" xr:uid="{44E56E43-99AB-435A-A7CE-47B9BE3AD6D1}"/>
  </hyperlinks>
  <pageMargins left="0.7" right="0.7" top="0.75" bottom="0.75" header="0.3" footer="0.3"/>
  <pageSetup orientation="portrait" r:id="rId8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A7463-6611-4DF3-A74C-14E70E474A2D}">
  <dimension ref="D4:F5"/>
  <sheetViews>
    <sheetView showGridLines="0" zoomScaleNormal="100" workbookViewId="0">
      <selection activeCell="D5" sqref="D5"/>
    </sheetView>
  </sheetViews>
  <sheetFormatPr defaultRowHeight="14.5" x14ac:dyDescent="0.35"/>
  <cols>
    <col min="4" max="4" width="18.90625" customWidth="1"/>
    <col min="5" max="5" width="25.81640625" bestFit="1" customWidth="1"/>
    <col min="6" max="6" width="24.90625" bestFit="1" customWidth="1"/>
  </cols>
  <sheetData>
    <row r="4" spans="4:6" ht="15.5" x14ac:dyDescent="0.35">
      <c r="D4" s="6" t="s">
        <v>7</v>
      </c>
      <c r="E4" s="6" t="s">
        <v>8</v>
      </c>
      <c r="F4" s="6" t="s">
        <v>9</v>
      </c>
    </row>
    <row r="5" spans="4:6" x14ac:dyDescent="0.35">
      <c r="D5" s="9" t="s">
        <v>72</v>
      </c>
      <c r="E5" s="9" t="str">
        <f>VLOOKUP(D5,Data!$C$3:$F$82,2,FALSE)</f>
        <v>DASARI VIMALA</v>
      </c>
      <c r="F5" s="9" t="str">
        <f>VLOOKUP(D5,Data!$C$3:$F$83,3,FALSE)</f>
        <v>Full Stack</v>
      </c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D8784A7-79FC-45D3-9748-F7F87BC3270F}">
          <x14:formula1>
            <xm:f>Data!$C$3:$C$83</xm:f>
          </x14:formula1>
          <xm:sqref>D5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2AEAB-490C-4CF7-824C-A326027C5A72}">
  <dimension ref="A1:CD6"/>
  <sheetViews>
    <sheetView topLeftCell="BG1" zoomScaleNormal="100" workbookViewId="0">
      <selection sqref="A1:CD6"/>
    </sheetView>
  </sheetViews>
  <sheetFormatPr defaultColWidth="11.7265625" defaultRowHeight="14.5" x14ac:dyDescent="0.35"/>
  <cols>
    <col min="1" max="1" width="19.81640625" style="21" bestFit="1" customWidth="1"/>
    <col min="2" max="2" width="23.453125" style="21" bestFit="1" customWidth="1"/>
    <col min="3" max="3" width="28.54296875" style="21" bestFit="1" customWidth="1"/>
    <col min="4" max="4" width="29.90625" style="21" bestFit="1" customWidth="1"/>
    <col min="5" max="5" width="27.7265625" style="21" bestFit="1" customWidth="1"/>
    <col min="6" max="6" width="37.7265625" style="21" bestFit="1" customWidth="1"/>
    <col min="7" max="7" width="28.81640625" style="21" bestFit="1" customWidth="1"/>
    <col min="8" max="8" width="28.90625" style="21" bestFit="1" customWidth="1"/>
    <col min="9" max="9" width="31.1796875" style="21" bestFit="1" customWidth="1"/>
    <col min="10" max="10" width="38.453125" style="21" bestFit="1" customWidth="1"/>
    <col min="11" max="11" width="28.6328125" style="21" bestFit="1" customWidth="1"/>
    <col min="12" max="12" width="38.6328125" style="21" bestFit="1" customWidth="1"/>
    <col min="13" max="13" width="36.36328125" style="21" bestFit="1" customWidth="1"/>
    <col min="14" max="14" width="29.54296875" style="21" bestFit="1" customWidth="1"/>
    <col min="15" max="15" width="30" style="21" bestFit="1" customWidth="1"/>
    <col min="16" max="16" width="31.7265625" style="21" bestFit="1" customWidth="1"/>
    <col min="17" max="17" width="36.36328125" style="21" bestFit="1" customWidth="1"/>
    <col min="18" max="18" width="31.7265625" style="21" bestFit="1" customWidth="1"/>
    <col min="19" max="19" width="33.36328125" style="21" bestFit="1" customWidth="1"/>
    <col min="20" max="20" width="31.453125" style="21" bestFit="1" customWidth="1"/>
    <col min="21" max="21" width="25.7265625" style="21" bestFit="1" customWidth="1"/>
    <col min="22" max="22" width="31.54296875" style="21" bestFit="1" customWidth="1"/>
    <col min="23" max="23" width="29.54296875" style="21" bestFit="1" customWidth="1"/>
    <col min="24" max="24" width="30.6328125" style="21" bestFit="1" customWidth="1"/>
    <col min="25" max="25" width="27.08984375" style="21" bestFit="1" customWidth="1"/>
    <col min="26" max="26" width="40.36328125" style="21" bestFit="1" customWidth="1"/>
    <col min="27" max="27" width="26.81640625" style="21" bestFit="1" customWidth="1"/>
    <col min="28" max="28" width="31.1796875" style="21" bestFit="1" customWidth="1"/>
    <col min="29" max="29" width="30.81640625" style="21" bestFit="1" customWidth="1"/>
    <col min="30" max="30" width="29.7265625" style="21" bestFit="1" customWidth="1"/>
    <col min="31" max="31" width="33.6328125" style="21" bestFit="1" customWidth="1"/>
    <col min="32" max="32" width="27.08984375" style="21" bestFit="1" customWidth="1"/>
    <col min="33" max="33" width="23.90625" style="21" bestFit="1" customWidth="1"/>
    <col min="34" max="34" width="31" style="21" bestFit="1" customWidth="1"/>
    <col min="35" max="35" width="36.453125" style="21" bestFit="1" customWidth="1"/>
    <col min="36" max="36" width="35.36328125" style="21" bestFit="1" customWidth="1"/>
    <col min="37" max="37" width="28.81640625" style="21" bestFit="1" customWidth="1"/>
    <col min="38" max="38" width="36.08984375" style="21" bestFit="1" customWidth="1"/>
    <col min="39" max="39" width="33.453125" style="21" bestFit="1" customWidth="1"/>
    <col min="40" max="40" width="33.1796875" style="21" bestFit="1" customWidth="1"/>
    <col min="41" max="41" width="31.36328125" style="21" bestFit="1" customWidth="1"/>
    <col min="42" max="42" width="29.26953125" style="21" bestFit="1" customWidth="1"/>
    <col min="43" max="43" width="30" style="21" bestFit="1" customWidth="1"/>
    <col min="44" max="44" width="30.54296875" style="21" bestFit="1" customWidth="1"/>
    <col min="45" max="45" width="42.453125" style="21" bestFit="1" customWidth="1"/>
    <col min="46" max="46" width="31.90625" style="21" bestFit="1" customWidth="1"/>
    <col min="47" max="47" width="24.81640625" style="21" bestFit="1" customWidth="1"/>
    <col min="48" max="48" width="40.453125" style="21" bestFit="1" customWidth="1"/>
    <col min="49" max="49" width="33.6328125" style="21" bestFit="1" customWidth="1"/>
    <col min="50" max="50" width="26.7265625" style="21" bestFit="1" customWidth="1"/>
    <col min="51" max="51" width="28.453125" style="21" bestFit="1" customWidth="1"/>
    <col min="52" max="52" width="27" style="21" bestFit="1" customWidth="1"/>
    <col min="53" max="53" width="35.36328125" style="21" bestFit="1" customWidth="1"/>
    <col min="54" max="54" width="38" style="21" bestFit="1" customWidth="1"/>
    <col min="55" max="55" width="29.90625" style="21" bestFit="1" customWidth="1"/>
    <col min="56" max="56" width="34.54296875" style="21" bestFit="1" customWidth="1"/>
    <col min="57" max="57" width="32.7265625" style="21" bestFit="1" customWidth="1"/>
    <col min="58" max="58" width="28.7265625" style="21" bestFit="1" customWidth="1"/>
    <col min="59" max="59" width="29.36328125" style="21" bestFit="1" customWidth="1"/>
    <col min="60" max="60" width="30.453125" style="21" bestFit="1" customWidth="1"/>
    <col min="61" max="61" width="30.81640625" style="21" bestFit="1" customWidth="1"/>
    <col min="62" max="62" width="34.26953125" style="21" bestFit="1" customWidth="1"/>
    <col min="63" max="63" width="33.81640625" style="21" bestFit="1" customWidth="1"/>
    <col min="64" max="64" width="24.6328125" style="21" bestFit="1" customWidth="1"/>
    <col min="65" max="65" width="35.453125" style="21" bestFit="1" customWidth="1"/>
    <col min="66" max="66" width="26" style="21" bestFit="1" customWidth="1"/>
    <col min="67" max="67" width="31.6328125" style="21" bestFit="1" customWidth="1"/>
    <col min="68" max="68" width="29.54296875" style="21" bestFit="1" customWidth="1"/>
    <col min="69" max="69" width="25.36328125" style="21" bestFit="1" customWidth="1"/>
    <col min="70" max="70" width="26.81640625" style="21" bestFit="1" customWidth="1"/>
    <col min="71" max="71" width="31.7265625" style="21" bestFit="1" customWidth="1"/>
    <col min="72" max="72" width="28.36328125" style="21" bestFit="1" customWidth="1"/>
    <col min="73" max="73" width="29" style="21" bestFit="1" customWidth="1"/>
    <col min="74" max="74" width="25.90625" style="21" bestFit="1" customWidth="1"/>
    <col min="75" max="75" width="32.1796875" style="21" bestFit="1" customWidth="1"/>
    <col min="76" max="76" width="40.26953125" style="21" bestFit="1" customWidth="1"/>
    <col min="77" max="77" width="28.6328125" style="21" bestFit="1" customWidth="1"/>
    <col min="78" max="78" width="33.90625" style="21" bestFit="1" customWidth="1"/>
    <col min="79" max="79" width="26.81640625" style="21" bestFit="1" customWidth="1"/>
    <col min="80" max="80" width="27.6328125" style="21" bestFit="1" customWidth="1"/>
    <col min="81" max="81" width="26.26953125" style="21" bestFit="1" customWidth="1"/>
    <col min="82" max="82" width="3.81640625" style="21" bestFit="1" customWidth="1"/>
    <col min="83" max="16384" width="11.7265625" style="21"/>
  </cols>
  <sheetData>
    <row r="1" spans="1:82" ht="15.5" x14ac:dyDescent="0.35">
      <c r="A1" s="24" t="s">
        <v>7</v>
      </c>
      <c r="B1" s="9" t="s">
        <v>17</v>
      </c>
      <c r="C1" s="9" t="s">
        <v>26</v>
      </c>
      <c r="D1" s="9" t="s">
        <v>31</v>
      </c>
      <c r="E1" s="9" t="s">
        <v>36</v>
      </c>
      <c r="F1" s="9" t="s">
        <v>40</v>
      </c>
      <c r="G1" s="9" t="s">
        <v>44</v>
      </c>
      <c r="H1" s="9" t="s">
        <v>48</v>
      </c>
      <c r="I1" s="9" t="s">
        <v>52</v>
      </c>
      <c r="J1" s="9" t="s">
        <v>56</v>
      </c>
      <c r="K1" s="9" t="s">
        <v>60</v>
      </c>
      <c r="L1" s="9" t="s">
        <v>64</v>
      </c>
      <c r="M1" s="9" t="s">
        <v>68</v>
      </c>
      <c r="N1" s="9" t="s">
        <v>72</v>
      </c>
      <c r="O1" s="9" t="s">
        <v>76</v>
      </c>
      <c r="P1" s="9" t="s">
        <v>80</v>
      </c>
      <c r="Q1" s="9" t="s">
        <v>84</v>
      </c>
      <c r="R1" s="9" t="s">
        <v>88</v>
      </c>
      <c r="S1" s="9" t="s">
        <v>92</v>
      </c>
      <c r="T1" s="9" t="s">
        <v>96</v>
      </c>
      <c r="U1" s="9" t="s">
        <v>100</v>
      </c>
      <c r="V1" s="9" t="s">
        <v>104</v>
      </c>
      <c r="W1" s="9" t="s">
        <v>108</v>
      </c>
      <c r="X1" s="9" t="s">
        <v>112</v>
      </c>
      <c r="Y1" s="9" t="s">
        <v>116</v>
      </c>
      <c r="Z1" s="9" t="s">
        <v>120</v>
      </c>
      <c r="AA1" s="9" t="s">
        <v>124</v>
      </c>
      <c r="AB1" s="9" t="s">
        <v>128</v>
      </c>
      <c r="AC1" s="9" t="s">
        <v>132</v>
      </c>
      <c r="AD1" s="9" t="s">
        <v>136</v>
      </c>
      <c r="AE1" s="9" t="s">
        <v>140</v>
      </c>
      <c r="AF1" s="9" t="s">
        <v>144</v>
      </c>
      <c r="AG1" s="9" t="s">
        <v>148</v>
      </c>
      <c r="AH1" s="9" t="s">
        <v>152</v>
      </c>
      <c r="AI1" s="9" t="s">
        <v>155</v>
      </c>
      <c r="AJ1" s="9" t="s">
        <v>159</v>
      </c>
      <c r="AK1" s="9" t="s">
        <v>163</v>
      </c>
      <c r="AL1" s="9" t="s">
        <v>167</v>
      </c>
      <c r="AM1" s="9" t="s">
        <v>171</v>
      </c>
      <c r="AN1" s="9" t="s">
        <v>175</v>
      </c>
      <c r="AO1" s="9" t="s">
        <v>179</v>
      </c>
      <c r="AP1" s="9" t="s">
        <v>183</v>
      </c>
      <c r="AQ1" s="9" t="s">
        <v>187</v>
      </c>
      <c r="AR1" s="9" t="s">
        <v>190</v>
      </c>
      <c r="AS1" s="9" t="s">
        <v>194</v>
      </c>
      <c r="AT1" s="9" t="s">
        <v>198</v>
      </c>
      <c r="AU1" s="9" t="s">
        <v>202</v>
      </c>
      <c r="AV1" s="9" t="s">
        <v>206</v>
      </c>
      <c r="AW1" s="9" t="s">
        <v>210</v>
      </c>
      <c r="AX1" s="9" t="s">
        <v>214</v>
      </c>
      <c r="AY1" s="9" t="s">
        <v>218</v>
      </c>
      <c r="AZ1" s="9" t="s">
        <v>222</v>
      </c>
      <c r="BA1" s="9" t="s">
        <v>226</v>
      </c>
      <c r="BB1" s="9" t="s">
        <v>230</v>
      </c>
      <c r="BC1" s="9" t="s">
        <v>234</v>
      </c>
      <c r="BD1" s="9" t="s">
        <v>238</v>
      </c>
      <c r="BE1" s="9" t="s">
        <v>242</v>
      </c>
      <c r="BF1" s="9" t="s">
        <v>246</v>
      </c>
      <c r="BG1" s="9" t="s">
        <v>250</v>
      </c>
      <c r="BH1" s="9" t="s">
        <v>254</v>
      </c>
      <c r="BI1" s="9" t="s">
        <v>257</v>
      </c>
      <c r="BJ1" s="9" t="s">
        <v>261</v>
      </c>
      <c r="BK1" s="9" t="s">
        <v>265</v>
      </c>
      <c r="BL1" s="9" t="s">
        <v>268</v>
      </c>
      <c r="BM1" s="9" t="s">
        <v>272</v>
      </c>
      <c r="BN1" s="9" t="s">
        <v>276</v>
      </c>
      <c r="BO1" s="9" t="s">
        <v>280</v>
      </c>
      <c r="BP1" s="9" t="s">
        <v>284</v>
      </c>
      <c r="BQ1" s="9" t="s">
        <v>288</v>
      </c>
      <c r="BR1" s="9" t="s">
        <v>292</v>
      </c>
      <c r="BS1" s="9" t="s">
        <v>295</v>
      </c>
      <c r="BT1" s="9" t="s">
        <v>298</v>
      </c>
      <c r="BU1" s="9" t="s">
        <v>302</v>
      </c>
      <c r="BV1" s="9" t="s">
        <v>306</v>
      </c>
      <c r="BW1" s="9" t="s">
        <v>310</v>
      </c>
      <c r="BX1" s="9" t="s">
        <v>314</v>
      </c>
      <c r="BY1" s="9" t="s">
        <v>318</v>
      </c>
      <c r="BZ1" s="9" t="s">
        <v>322</v>
      </c>
      <c r="CA1" s="9" t="s">
        <v>326</v>
      </c>
      <c r="CB1" s="9" t="s">
        <v>329</v>
      </c>
      <c r="CC1" s="9" t="s">
        <v>332</v>
      </c>
      <c r="CD1" s="1">
        <v>123</v>
      </c>
    </row>
    <row r="2" spans="1:82" ht="15.5" x14ac:dyDescent="0.35">
      <c r="A2" s="24" t="s">
        <v>8</v>
      </c>
      <c r="B2" s="25" t="s">
        <v>18</v>
      </c>
      <c r="C2" s="25" t="s">
        <v>27</v>
      </c>
      <c r="D2" s="25" t="s">
        <v>32</v>
      </c>
      <c r="E2" s="25" t="s">
        <v>37</v>
      </c>
      <c r="F2" s="25" t="s">
        <v>41</v>
      </c>
      <c r="G2" s="25" t="s">
        <v>45</v>
      </c>
      <c r="H2" s="25" t="s">
        <v>49</v>
      </c>
      <c r="I2" s="25" t="s">
        <v>53</v>
      </c>
      <c r="J2" s="25" t="s">
        <v>57</v>
      </c>
      <c r="K2" s="25" t="s">
        <v>61</v>
      </c>
      <c r="L2" s="25" t="s">
        <v>65</v>
      </c>
      <c r="M2" s="25" t="s">
        <v>69</v>
      </c>
      <c r="N2" s="25" t="s">
        <v>73</v>
      </c>
      <c r="O2" s="25" t="s">
        <v>77</v>
      </c>
      <c r="P2" s="25" t="s">
        <v>81</v>
      </c>
      <c r="Q2" s="25" t="s">
        <v>85</v>
      </c>
      <c r="R2" s="25" t="s">
        <v>89</v>
      </c>
      <c r="S2" s="25" t="s">
        <v>93</v>
      </c>
      <c r="T2" s="25" t="s">
        <v>97</v>
      </c>
      <c r="U2" s="25" t="s">
        <v>101</v>
      </c>
      <c r="V2" s="25" t="s">
        <v>105</v>
      </c>
      <c r="W2" s="25" t="s">
        <v>109</v>
      </c>
      <c r="X2" s="25" t="s">
        <v>113</v>
      </c>
      <c r="Y2" s="25" t="s">
        <v>117</v>
      </c>
      <c r="Z2" s="25" t="s">
        <v>121</v>
      </c>
      <c r="AA2" s="25" t="s">
        <v>125</v>
      </c>
      <c r="AB2" s="25" t="s">
        <v>129</v>
      </c>
      <c r="AC2" s="25" t="s">
        <v>133</v>
      </c>
      <c r="AD2" s="25" t="s">
        <v>137</v>
      </c>
      <c r="AE2" s="25" t="s">
        <v>141</v>
      </c>
      <c r="AF2" s="25" t="s">
        <v>145</v>
      </c>
      <c r="AG2" s="25" t="s">
        <v>149</v>
      </c>
      <c r="AH2" s="25" t="s">
        <v>153</v>
      </c>
      <c r="AI2" s="25" t="s">
        <v>156</v>
      </c>
      <c r="AJ2" s="25" t="s">
        <v>160</v>
      </c>
      <c r="AK2" s="25" t="s">
        <v>164</v>
      </c>
      <c r="AL2" s="25" t="s">
        <v>168</v>
      </c>
      <c r="AM2" s="25" t="s">
        <v>172</v>
      </c>
      <c r="AN2" s="25" t="s">
        <v>176</v>
      </c>
      <c r="AO2" s="25" t="s">
        <v>180</v>
      </c>
      <c r="AP2" s="25" t="s">
        <v>184</v>
      </c>
      <c r="AQ2" s="25" t="s">
        <v>188</v>
      </c>
      <c r="AR2" s="25" t="s">
        <v>191</v>
      </c>
      <c r="AS2" s="25" t="s">
        <v>195</v>
      </c>
      <c r="AT2" s="25" t="s">
        <v>199</v>
      </c>
      <c r="AU2" s="25" t="s">
        <v>203</v>
      </c>
      <c r="AV2" s="25" t="s">
        <v>207</v>
      </c>
      <c r="AW2" s="25" t="s">
        <v>211</v>
      </c>
      <c r="AX2" s="25" t="s">
        <v>215</v>
      </c>
      <c r="AY2" s="25" t="s">
        <v>219</v>
      </c>
      <c r="AZ2" s="25" t="s">
        <v>223</v>
      </c>
      <c r="BA2" s="25" t="s">
        <v>227</v>
      </c>
      <c r="BB2" s="25" t="s">
        <v>231</v>
      </c>
      <c r="BC2" s="25" t="s">
        <v>235</v>
      </c>
      <c r="BD2" s="25" t="s">
        <v>239</v>
      </c>
      <c r="BE2" s="25" t="s">
        <v>243</v>
      </c>
      <c r="BF2" s="25" t="s">
        <v>247</v>
      </c>
      <c r="BG2" s="25" t="s">
        <v>251</v>
      </c>
      <c r="BH2" s="25" t="s">
        <v>255</v>
      </c>
      <c r="BI2" s="25" t="s">
        <v>258</v>
      </c>
      <c r="BJ2" s="25" t="s">
        <v>262</v>
      </c>
      <c r="BK2" s="25" t="s">
        <v>266</v>
      </c>
      <c r="BL2" s="25" t="s">
        <v>269</v>
      </c>
      <c r="BM2" s="25" t="s">
        <v>273</v>
      </c>
      <c r="BN2" s="26" t="s">
        <v>277</v>
      </c>
      <c r="BO2" s="26" t="s">
        <v>281</v>
      </c>
      <c r="BP2" s="26" t="s">
        <v>285</v>
      </c>
      <c r="BQ2" s="26" t="s">
        <v>289</v>
      </c>
      <c r="BR2" s="26" t="s">
        <v>293</v>
      </c>
      <c r="BS2" s="26" t="s">
        <v>296</v>
      </c>
      <c r="BT2" s="26" t="s">
        <v>299</v>
      </c>
      <c r="BU2" s="26" t="s">
        <v>303</v>
      </c>
      <c r="BV2" s="26" t="s">
        <v>307</v>
      </c>
      <c r="BW2" s="26" t="s">
        <v>311</v>
      </c>
      <c r="BX2" s="26" t="s">
        <v>315</v>
      </c>
      <c r="BY2" s="26" t="s">
        <v>319</v>
      </c>
      <c r="BZ2" s="26" t="s">
        <v>323</v>
      </c>
      <c r="CA2" s="25" t="s">
        <v>327</v>
      </c>
      <c r="CB2" s="25" t="s">
        <v>330</v>
      </c>
      <c r="CC2" s="25" t="s">
        <v>333</v>
      </c>
      <c r="CD2" s="1"/>
    </row>
    <row r="3" spans="1:82" ht="15.5" x14ac:dyDescent="0.35">
      <c r="A3" s="24" t="s">
        <v>9</v>
      </c>
      <c r="B3" s="25" t="s">
        <v>19</v>
      </c>
      <c r="C3" s="25" t="s">
        <v>28</v>
      </c>
      <c r="D3" s="25" t="s">
        <v>28</v>
      </c>
      <c r="E3" s="25" t="s">
        <v>28</v>
      </c>
      <c r="F3" s="25" t="s">
        <v>28</v>
      </c>
      <c r="G3" s="25" t="s">
        <v>19</v>
      </c>
      <c r="H3" s="25" t="s">
        <v>28</v>
      </c>
      <c r="I3" s="25" t="s">
        <v>28</v>
      </c>
      <c r="J3" s="25" t="s">
        <v>19</v>
      </c>
      <c r="K3" s="25" t="s">
        <v>28</v>
      </c>
      <c r="L3" s="25" t="s">
        <v>28</v>
      </c>
      <c r="M3" s="25" t="s">
        <v>28</v>
      </c>
      <c r="N3" s="25" t="s">
        <v>28</v>
      </c>
      <c r="O3" s="25" t="s">
        <v>19</v>
      </c>
      <c r="P3" s="25" t="s">
        <v>28</v>
      </c>
      <c r="Q3" s="25" t="s">
        <v>28</v>
      </c>
      <c r="R3" s="25" t="s">
        <v>19</v>
      </c>
      <c r="S3" s="25" t="s">
        <v>28</v>
      </c>
      <c r="T3" s="25" t="s">
        <v>28</v>
      </c>
      <c r="U3" s="25" t="s">
        <v>19</v>
      </c>
      <c r="V3" s="25" t="s">
        <v>19</v>
      </c>
      <c r="W3" s="25" t="s">
        <v>28</v>
      </c>
      <c r="X3" s="25" t="s">
        <v>28</v>
      </c>
      <c r="Y3" s="25" t="s">
        <v>28</v>
      </c>
      <c r="Z3" s="25" t="s">
        <v>28</v>
      </c>
      <c r="AA3" s="25" t="s">
        <v>28</v>
      </c>
      <c r="AB3" s="25" t="s">
        <v>19</v>
      </c>
      <c r="AC3" s="25" t="s">
        <v>28</v>
      </c>
      <c r="AD3" s="25" t="s">
        <v>28</v>
      </c>
      <c r="AE3" s="25" t="s">
        <v>28</v>
      </c>
      <c r="AF3" s="25" t="s">
        <v>28</v>
      </c>
      <c r="AG3" s="25" t="s">
        <v>19</v>
      </c>
      <c r="AH3" s="25" t="s">
        <v>19</v>
      </c>
      <c r="AI3" s="25" t="s">
        <v>28</v>
      </c>
      <c r="AJ3" s="25" t="s">
        <v>28</v>
      </c>
      <c r="AK3" s="25" t="s">
        <v>19</v>
      </c>
      <c r="AL3" s="25" t="s">
        <v>28</v>
      </c>
      <c r="AM3" s="25" t="s">
        <v>28</v>
      </c>
      <c r="AN3" s="25" t="s">
        <v>19</v>
      </c>
      <c r="AO3" s="25" t="s">
        <v>19</v>
      </c>
      <c r="AP3" s="25" t="s">
        <v>19</v>
      </c>
      <c r="AQ3" s="25" t="s">
        <v>19</v>
      </c>
      <c r="AR3" s="25" t="s">
        <v>28</v>
      </c>
      <c r="AS3" s="25" t="s">
        <v>28</v>
      </c>
      <c r="AT3" s="25" t="s">
        <v>28</v>
      </c>
      <c r="AU3" s="25" t="s">
        <v>19</v>
      </c>
      <c r="AV3" s="25" t="s">
        <v>28</v>
      </c>
      <c r="AW3" s="25" t="s">
        <v>28</v>
      </c>
      <c r="AX3" s="25" t="s">
        <v>19</v>
      </c>
      <c r="AY3" s="25" t="s">
        <v>28</v>
      </c>
      <c r="AZ3" s="25" t="s">
        <v>19</v>
      </c>
      <c r="BA3" s="25" t="s">
        <v>28</v>
      </c>
      <c r="BB3" s="25" t="s">
        <v>28</v>
      </c>
      <c r="BC3" s="25" t="s">
        <v>28</v>
      </c>
      <c r="BD3" s="25" t="s">
        <v>28</v>
      </c>
      <c r="BE3" s="25" t="s">
        <v>28</v>
      </c>
      <c r="BF3" s="25" t="s">
        <v>19</v>
      </c>
      <c r="BG3" s="25" t="s">
        <v>28</v>
      </c>
      <c r="BH3" s="25" t="s">
        <v>28</v>
      </c>
      <c r="BI3" s="25" t="s">
        <v>19</v>
      </c>
      <c r="BJ3" s="25" t="s">
        <v>28</v>
      </c>
      <c r="BK3" s="25" t="s">
        <v>28</v>
      </c>
      <c r="BL3" s="25" t="s">
        <v>19</v>
      </c>
      <c r="BM3" s="25" t="s">
        <v>28</v>
      </c>
      <c r="BN3" s="26" t="s">
        <v>19</v>
      </c>
      <c r="BO3" s="26" t="s">
        <v>28</v>
      </c>
      <c r="BP3" s="26" t="s">
        <v>28</v>
      </c>
      <c r="BQ3" s="26" t="s">
        <v>28</v>
      </c>
      <c r="BR3" s="26" t="s">
        <v>19</v>
      </c>
      <c r="BS3" s="26" t="s">
        <v>28</v>
      </c>
      <c r="BT3" s="26" t="s">
        <v>28</v>
      </c>
      <c r="BU3" s="26" t="s">
        <v>19</v>
      </c>
      <c r="BV3" s="26" t="s">
        <v>28</v>
      </c>
      <c r="BW3" s="26" t="s">
        <v>19</v>
      </c>
      <c r="BX3" s="26" t="s">
        <v>19</v>
      </c>
      <c r="BY3" s="26" t="s">
        <v>28</v>
      </c>
      <c r="BZ3" s="26" t="s">
        <v>28</v>
      </c>
      <c r="CA3" s="25" t="s">
        <v>28</v>
      </c>
      <c r="CB3" s="25" t="s">
        <v>28</v>
      </c>
      <c r="CC3" s="25" t="s">
        <v>28</v>
      </c>
      <c r="CD3" s="1"/>
    </row>
    <row r="4" spans="1:82" ht="15.5" x14ac:dyDescent="0.35">
      <c r="A4" s="24" t="s">
        <v>10</v>
      </c>
      <c r="B4" s="9">
        <v>6399221384</v>
      </c>
      <c r="C4" s="9">
        <v>8732960724</v>
      </c>
      <c r="D4" s="9">
        <v>3928683138</v>
      </c>
      <c r="E4" s="9">
        <v>6302977515</v>
      </c>
      <c r="F4" s="9">
        <v>3285643454</v>
      </c>
      <c r="G4" s="9">
        <v>6204804746</v>
      </c>
      <c r="H4" s="9">
        <v>8402592334</v>
      </c>
      <c r="I4" s="9">
        <v>1770577932</v>
      </c>
      <c r="J4" s="9">
        <v>1087593685</v>
      </c>
      <c r="K4" s="9">
        <v>1693682470</v>
      </c>
      <c r="L4" s="9">
        <v>1821308586</v>
      </c>
      <c r="M4" s="9">
        <v>1683546545</v>
      </c>
      <c r="N4" s="9">
        <v>5506439807</v>
      </c>
      <c r="O4" s="9">
        <v>3565997600</v>
      </c>
      <c r="P4" s="9">
        <v>2685014153</v>
      </c>
      <c r="Q4" s="9">
        <v>8144007188</v>
      </c>
      <c r="R4" s="9">
        <v>5451418853</v>
      </c>
      <c r="S4" s="9">
        <v>2352093828</v>
      </c>
      <c r="T4" s="9">
        <v>4851546652</v>
      </c>
      <c r="U4" s="9">
        <v>6604423032</v>
      </c>
      <c r="V4" s="9">
        <v>4267924443</v>
      </c>
      <c r="W4" s="9">
        <v>2776428499</v>
      </c>
      <c r="X4" s="9">
        <v>2344591250</v>
      </c>
      <c r="Y4" s="9">
        <v>4564000793</v>
      </c>
      <c r="Z4" s="9">
        <v>7831800139</v>
      </c>
      <c r="AA4" s="9">
        <v>1359937879</v>
      </c>
      <c r="AB4" s="9">
        <v>8357059907</v>
      </c>
      <c r="AC4" s="9">
        <v>8195300576</v>
      </c>
      <c r="AD4" s="9">
        <v>3908490120</v>
      </c>
      <c r="AE4" s="9">
        <v>6654686097</v>
      </c>
      <c r="AF4" s="9">
        <v>3176554504</v>
      </c>
      <c r="AG4" s="9">
        <v>7375541777</v>
      </c>
      <c r="AH4" s="9">
        <v>2307603936</v>
      </c>
      <c r="AI4" s="9">
        <v>7539961295</v>
      </c>
      <c r="AJ4" s="9">
        <v>8714929594</v>
      </c>
      <c r="AK4" s="9">
        <v>6748495954</v>
      </c>
      <c r="AL4" s="9">
        <v>5598318903</v>
      </c>
      <c r="AM4" s="9">
        <v>5366755536</v>
      </c>
      <c r="AN4" s="9">
        <v>5685425899</v>
      </c>
      <c r="AO4" s="9">
        <v>8546891943</v>
      </c>
      <c r="AP4" s="9">
        <v>7905481507</v>
      </c>
      <c r="AQ4" s="9">
        <v>5681445328</v>
      </c>
      <c r="AR4" s="9">
        <v>1576469041</v>
      </c>
      <c r="AS4" s="9">
        <v>7244391357</v>
      </c>
      <c r="AT4" s="9">
        <v>5713887644</v>
      </c>
      <c r="AU4" s="9">
        <v>4360003876</v>
      </c>
      <c r="AV4" s="9">
        <v>6232183694</v>
      </c>
      <c r="AW4" s="9">
        <v>6682877186</v>
      </c>
      <c r="AX4" s="9">
        <v>8911831176</v>
      </c>
      <c r="AY4" s="9">
        <v>5328455783</v>
      </c>
      <c r="AZ4" s="9">
        <v>4825148027</v>
      </c>
      <c r="BA4" s="9">
        <v>3228331930</v>
      </c>
      <c r="BB4" s="9">
        <v>7158666834</v>
      </c>
      <c r="BC4" s="9">
        <v>7998839021</v>
      </c>
      <c r="BD4" s="9">
        <v>8550635195</v>
      </c>
      <c r="BE4" s="9">
        <v>8733465367</v>
      </c>
      <c r="BF4" s="9">
        <v>6153044829</v>
      </c>
      <c r="BG4" s="9">
        <v>4496254693</v>
      </c>
      <c r="BH4" s="9">
        <v>2881088394</v>
      </c>
      <c r="BI4" s="9">
        <v>3401449282</v>
      </c>
      <c r="BJ4" s="9">
        <v>4405995363</v>
      </c>
      <c r="BK4" s="9">
        <v>2219599156</v>
      </c>
      <c r="BL4" s="9">
        <v>3482112190</v>
      </c>
      <c r="BM4" s="9">
        <v>8411360361</v>
      </c>
      <c r="BN4" s="9">
        <v>2842414479</v>
      </c>
      <c r="BO4" s="9">
        <v>5876113945</v>
      </c>
      <c r="BP4" s="9">
        <v>4273126076</v>
      </c>
      <c r="BQ4" s="9">
        <v>8077085042</v>
      </c>
      <c r="BR4" s="9">
        <v>8112643867</v>
      </c>
      <c r="BS4" s="9">
        <v>3685782386</v>
      </c>
      <c r="BT4" s="9">
        <v>6205596324</v>
      </c>
      <c r="BU4" s="9">
        <v>6578497608</v>
      </c>
      <c r="BV4" s="9">
        <v>2602080020</v>
      </c>
      <c r="BW4" s="9">
        <v>8796416295</v>
      </c>
      <c r="BX4" s="9">
        <v>5978571640</v>
      </c>
      <c r="BY4" s="9">
        <v>5716170881</v>
      </c>
      <c r="BZ4" s="9">
        <v>6927479136</v>
      </c>
      <c r="CA4" s="9">
        <v>8625176197</v>
      </c>
      <c r="CB4" s="9">
        <v>3221738150</v>
      </c>
      <c r="CC4" s="9">
        <v>2217423855</v>
      </c>
      <c r="CD4" s="1"/>
    </row>
    <row r="5" spans="1:82" ht="15.5" x14ac:dyDescent="0.35">
      <c r="A5" s="24" t="s">
        <v>11</v>
      </c>
      <c r="B5" s="27" t="s">
        <v>20</v>
      </c>
      <c r="C5" s="27" t="s">
        <v>29</v>
      </c>
      <c r="D5" s="27" t="s">
        <v>33</v>
      </c>
      <c r="E5" s="27" t="s">
        <v>38</v>
      </c>
      <c r="F5" s="27" t="s">
        <v>42</v>
      </c>
      <c r="G5" s="27" t="s">
        <v>46</v>
      </c>
      <c r="H5" s="27" t="s">
        <v>50</v>
      </c>
      <c r="I5" s="27" t="s">
        <v>54</v>
      </c>
      <c r="J5" s="27" t="s">
        <v>58</v>
      </c>
      <c r="K5" s="27" t="s">
        <v>62</v>
      </c>
      <c r="L5" s="27" t="s">
        <v>66</v>
      </c>
      <c r="M5" s="27" t="s">
        <v>70</v>
      </c>
      <c r="N5" s="27" t="s">
        <v>74</v>
      </c>
      <c r="O5" s="27" t="s">
        <v>78</v>
      </c>
      <c r="P5" s="27" t="s">
        <v>82</v>
      </c>
      <c r="Q5" s="27" t="s">
        <v>86</v>
      </c>
      <c r="R5" s="27" t="s">
        <v>90</v>
      </c>
      <c r="S5" s="27" t="s">
        <v>94</v>
      </c>
      <c r="T5" s="27" t="s">
        <v>98</v>
      </c>
      <c r="U5" s="27" t="s">
        <v>102</v>
      </c>
      <c r="V5" s="27" t="s">
        <v>106</v>
      </c>
      <c r="W5" s="27" t="s">
        <v>110</v>
      </c>
      <c r="X5" s="27" t="s">
        <v>114</v>
      </c>
      <c r="Y5" s="27" t="s">
        <v>118</v>
      </c>
      <c r="Z5" s="27" t="s">
        <v>122</v>
      </c>
      <c r="AA5" s="27" t="s">
        <v>126</v>
      </c>
      <c r="AB5" s="27" t="s">
        <v>130</v>
      </c>
      <c r="AC5" s="27" t="s">
        <v>134</v>
      </c>
      <c r="AD5" s="27" t="s">
        <v>138</v>
      </c>
      <c r="AE5" s="27" t="s">
        <v>142</v>
      </c>
      <c r="AF5" s="27" t="s">
        <v>146</v>
      </c>
      <c r="AG5" s="27" t="s">
        <v>150</v>
      </c>
      <c r="AH5" s="27" t="s">
        <v>154</v>
      </c>
      <c r="AI5" s="27" t="s">
        <v>157</v>
      </c>
      <c r="AJ5" s="27" t="s">
        <v>161</v>
      </c>
      <c r="AK5" s="27" t="s">
        <v>165</v>
      </c>
      <c r="AL5" s="27" t="s">
        <v>169</v>
      </c>
      <c r="AM5" s="27" t="s">
        <v>173</v>
      </c>
      <c r="AN5" s="27" t="s">
        <v>177</v>
      </c>
      <c r="AO5" s="27" t="s">
        <v>181</v>
      </c>
      <c r="AP5" s="27" t="s">
        <v>185</v>
      </c>
      <c r="AQ5" s="27" t="s">
        <v>189</v>
      </c>
      <c r="AR5" s="27" t="s">
        <v>192</v>
      </c>
      <c r="AS5" s="27" t="s">
        <v>196</v>
      </c>
      <c r="AT5" s="27" t="s">
        <v>200</v>
      </c>
      <c r="AU5" s="27" t="s">
        <v>204</v>
      </c>
      <c r="AV5" s="27" t="s">
        <v>208</v>
      </c>
      <c r="AW5" s="27" t="s">
        <v>212</v>
      </c>
      <c r="AX5" s="27" t="s">
        <v>216</v>
      </c>
      <c r="AY5" s="27" t="s">
        <v>220</v>
      </c>
      <c r="AZ5" s="27" t="s">
        <v>224</v>
      </c>
      <c r="BA5" s="27" t="s">
        <v>228</v>
      </c>
      <c r="BB5" s="27" t="s">
        <v>232</v>
      </c>
      <c r="BC5" s="27" t="s">
        <v>236</v>
      </c>
      <c r="BD5" s="27" t="s">
        <v>240</v>
      </c>
      <c r="BE5" s="27" t="s">
        <v>244</v>
      </c>
      <c r="BF5" s="27" t="s">
        <v>248</v>
      </c>
      <c r="BG5" s="27" t="s">
        <v>252</v>
      </c>
      <c r="BH5" s="27" t="s">
        <v>256</v>
      </c>
      <c r="BI5" s="27" t="s">
        <v>259</v>
      </c>
      <c r="BJ5" s="27" t="s">
        <v>263</v>
      </c>
      <c r="BK5" s="27" t="s">
        <v>267</v>
      </c>
      <c r="BL5" s="27" t="s">
        <v>270</v>
      </c>
      <c r="BM5" s="27" t="s">
        <v>274</v>
      </c>
      <c r="BN5" s="27" t="s">
        <v>278</v>
      </c>
      <c r="BO5" s="27" t="s">
        <v>282</v>
      </c>
      <c r="BP5" s="27" t="s">
        <v>286</v>
      </c>
      <c r="BQ5" s="27" t="s">
        <v>290</v>
      </c>
      <c r="BR5" s="27" t="s">
        <v>294</v>
      </c>
      <c r="BS5" s="27" t="s">
        <v>297</v>
      </c>
      <c r="BT5" s="27" t="s">
        <v>300</v>
      </c>
      <c r="BU5" s="27" t="s">
        <v>304</v>
      </c>
      <c r="BV5" s="27" t="s">
        <v>308</v>
      </c>
      <c r="BW5" s="27" t="s">
        <v>312</v>
      </c>
      <c r="BX5" s="27" t="s">
        <v>316</v>
      </c>
      <c r="BY5" s="27" t="s">
        <v>320</v>
      </c>
      <c r="BZ5" s="27" t="s">
        <v>324</v>
      </c>
      <c r="CA5" s="27" t="s">
        <v>328</v>
      </c>
      <c r="CB5" s="27" t="s">
        <v>331</v>
      </c>
      <c r="CC5" s="27" t="s">
        <v>334</v>
      </c>
      <c r="CD5" s="1"/>
    </row>
    <row r="6" spans="1:82" ht="15.5" x14ac:dyDescent="0.35">
      <c r="A6" s="24" t="s">
        <v>12</v>
      </c>
      <c r="B6" s="25" t="s">
        <v>21</v>
      </c>
      <c r="C6" s="25" t="s">
        <v>21</v>
      </c>
      <c r="D6" s="25" t="s">
        <v>34</v>
      </c>
      <c r="E6" s="25" t="s">
        <v>34</v>
      </c>
      <c r="F6" s="25" t="s">
        <v>34</v>
      </c>
      <c r="G6" s="25" t="s">
        <v>34</v>
      </c>
      <c r="H6" s="25" t="s">
        <v>34</v>
      </c>
      <c r="I6" s="25" t="s">
        <v>34</v>
      </c>
      <c r="J6" s="25" t="s">
        <v>21</v>
      </c>
      <c r="K6" s="25" t="s">
        <v>21</v>
      </c>
      <c r="L6" s="25" t="s">
        <v>34</v>
      </c>
      <c r="M6" s="25" t="s">
        <v>34</v>
      </c>
      <c r="N6" s="25" t="s">
        <v>21</v>
      </c>
      <c r="O6" s="25" t="s">
        <v>34</v>
      </c>
      <c r="P6" s="25" t="s">
        <v>21</v>
      </c>
      <c r="Q6" s="25" t="s">
        <v>34</v>
      </c>
      <c r="R6" s="25" t="s">
        <v>21</v>
      </c>
      <c r="S6" s="25" t="s">
        <v>21</v>
      </c>
      <c r="T6" s="25" t="s">
        <v>21</v>
      </c>
      <c r="U6" s="25" t="s">
        <v>34</v>
      </c>
      <c r="V6" s="25" t="s">
        <v>21</v>
      </c>
      <c r="W6" s="25" t="s">
        <v>34</v>
      </c>
      <c r="X6" s="25" t="s">
        <v>21</v>
      </c>
      <c r="Y6" s="25" t="s">
        <v>34</v>
      </c>
      <c r="Z6" s="25" t="s">
        <v>34</v>
      </c>
      <c r="AA6" s="25" t="s">
        <v>21</v>
      </c>
      <c r="AB6" s="25" t="s">
        <v>21</v>
      </c>
      <c r="AC6" s="25" t="s">
        <v>21</v>
      </c>
      <c r="AD6" s="25" t="s">
        <v>34</v>
      </c>
      <c r="AE6" s="25" t="s">
        <v>34</v>
      </c>
      <c r="AF6" s="25" t="s">
        <v>34</v>
      </c>
      <c r="AG6" s="25" t="s">
        <v>34</v>
      </c>
      <c r="AH6" s="25" t="s">
        <v>21</v>
      </c>
      <c r="AI6" s="25" t="s">
        <v>21</v>
      </c>
      <c r="AJ6" s="25" t="s">
        <v>21</v>
      </c>
      <c r="AK6" s="25" t="s">
        <v>21</v>
      </c>
      <c r="AL6" s="25" t="s">
        <v>21</v>
      </c>
      <c r="AM6" s="25" t="s">
        <v>34</v>
      </c>
      <c r="AN6" s="25" t="s">
        <v>21</v>
      </c>
      <c r="AO6" s="25" t="s">
        <v>34</v>
      </c>
      <c r="AP6" s="25" t="s">
        <v>34</v>
      </c>
      <c r="AQ6" s="25" t="s">
        <v>21</v>
      </c>
      <c r="AR6" s="25" t="s">
        <v>34</v>
      </c>
      <c r="AS6" s="25" t="s">
        <v>34</v>
      </c>
      <c r="AT6" s="25" t="s">
        <v>34</v>
      </c>
      <c r="AU6" s="25" t="s">
        <v>34</v>
      </c>
      <c r="AV6" s="25" t="s">
        <v>34</v>
      </c>
      <c r="AW6" s="25" t="s">
        <v>21</v>
      </c>
      <c r="AX6" s="25" t="s">
        <v>34</v>
      </c>
      <c r="AY6" s="25" t="s">
        <v>21</v>
      </c>
      <c r="AZ6" s="25" t="s">
        <v>34</v>
      </c>
      <c r="BA6" s="25" t="s">
        <v>34</v>
      </c>
      <c r="BB6" s="25" t="s">
        <v>34</v>
      </c>
      <c r="BC6" s="25" t="s">
        <v>34</v>
      </c>
      <c r="BD6" s="25" t="s">
        <v>21</v>
      </c>
      <c r="BE6" s="25" t="s">
        <v>21</v>
      </c>
      <c r="BF6" s="25" t="s">
        <v>34</v>
      </c>
      <c r="BG6" s="25" t="s">
        <v>34</v>
      </c>
      <c r="BH6" s="25" t="s">
        <v>21</v>
      </c>
      <c r="BI6" s="25" t="s">
        <v>34</v>
      </c>
      <c r="BJ6" s="25" t="s">
        <v>34</v>
      </c>
      <c r="BK6" s="25" t="s">
        <v>34</v>
      </c>
      <c r="BL6" s="25" t="s">
        <v>34</v>
      </c>
      <c r="BM6" s="25" t="s">
        <v>34</v>
      </c>
      <c r="BN6" s="26" t="s">
        <v>34</v>
      </c>
      <c r="BO6" s="26" t="s">
        <v>21</v>
      </c>
      <c r="BP6" s="26" t="s">
        <v>34</v>
      </c>
      <c r="BQ6" s="26" t="s">
        <v>21</v>
      </c>
      <c r="BR6" s="26" t="s">
        <v>34</v>
      </c>
      <c r="BS6" s="26" t="s">
        <v>21</v>
      </c>
      <c r="BT6" s="26" t="s">
        <v>34</v>
      </c>
      <c r="BU6" s="26" t="s">
        <v>34</v>
      </c>
      <c r="BV6" s="26" t="s">
        <v>34</v>
      </c>
      <c r="BW6" s="26" t="s">
        <v>34</v>
      </c>
      <c r="BX6" s="26" t="s">
        <v>34</v>
      </c>
      <c r="BY6" s="26" t="s">
        <v>34</v>
      </c>
      <c r="BZ6" s="26" t="s">
        <v>21</v>
      </c>
      <c r="CA6" s="25" t="s">
        <v>34</v>
      </c>
      <c r="CB6" s="25" t="s">
        <v>34</v>
      </c>
      <c r="CC6" s="25" t="s">
        <v>34</v>
      </c>
      <c r="CD6" s="1"/>
    </row>
  </sheetData>
  <hyperlinks>
    <hyperlink ref="D5" r:id="rId1" xr:uid="{679ABC01-1B18-401F-B534-5E3A95CDE7C8}"/>
    <hyperlink ref="B5" r:id="rId2" xr:uid="{B743AA45-505E-4CB0-B770-84463ACB5171}"/>
    <hyperlink ref="C5" r:id="rId3" xr:uid="{18D6C2F2-59F8-45A5-A470-0A5F7B5EBDFF}"/>
    <hyperlink ref="E5" r:id="rId4" xr:uid="{2CFB3565-0BB7-422E-A10B-42F270C57124}"/>
    <hyperlink ref="F5" r:id="rId5" xr:uid="{7B486C96-7843-47A9-8480-745D016619C7}"/>
    <hyperlink ref="G5" r:id="rId6" xr:uid="{03890F47-1D23-4ED4-980C-B01323E33293}"/>
    <hyperlink ref="H5" r:id="rId7" xr:uid="{98675CEE-BC7D-4D15-B3EF-2076CAC0A3FD}"/>
    <hyperlink ref="I5" r:id="rId8" xr:uid="{ADE51324-432F-4FB7-9496-290197699F86}"/>
    <hyperlink ref="J5" r:id="rId9" xr:uid="{06084685-0246-4379-8014-5807D9F4DC95}"/>
    <hyperlink ref="K5" r:id="rId10" xr:uid="{2698744D-4DB3-45E3-8406-5295EB84C663}"/>
    <hyperlink ref="L5" r:id="rId11" xr:uid="{E75EAE78-5276-4EB2-A72B-1BFA634D4840}"/>
    <hyperlink ref="M5" r:id="rId12" xr:uid="{50C3E8DE-5FDB-4F3D-98DD-4582930B7605}"/>
    <hyperlink ref="N5" r:id="rId13" xr:uid="{2B1B4743-AF4A-470B-B972-CCB140F10B60}"/>
    <hyperlink ref="O5" r:id="rId14" xr:uid="{BB370E72-3572-4933-BCBE-9EB977E735B7}"/>
    <hyperlink ref="P5" r:id="rId15" xr:uid="{C1CAFC91-6E96-46B9-863F-F31F52DA19A6}"/>
    <hyperlink ref="Q5" r:id="rId16" xr:uid="{B67D2F68-B365-4729-99AE-50F231FD3891}"/>
    <hyperlink ref="R5" r:id="rId17" xr:uid="{BB3AAEB9-1AE6-407C-BACD-B4E929372EF1}"/>
    <hyperlink ref="S5" r:id="rId18" xr:uid="{9205CC70-5FE9-4CB7-BFA2-1867830AFED0}"/>
    <hyperlink ref="T5" r:id="rId19" xr:uid="{A6B13A4E-E3F0-4F1B-8E6E-144AA6EECA9A}"/>
    <hyperlink ref="U5" r:id="rId20" xr:uid="{1D274085-3590-444F-9D35-9B96219F75E8}"/>
    <hyperlink ref="V5" r:id="rId21" xr:uid="{5B47FEE9-DCB7-438D-B8A9-15A5F996E1BB}"/>
    <hyperlink ref="W5" r:id="rId22" xr:uid="{7C2654A8-32A8-4AF5-8201-B12E8574C682}"/>
    <hyperlink ref="X5" r:id="rId23" xr:uid="{A0CF1A55-74BF-4FEF-8E6B-8CD4A4459C08}"/>
    <hyperlink ref="Y5" r:id="rId24" xr:uid="{C82E19BE-D40F-4B61-B513-9C4570C8540A}"/>
    <hyperlink ref="Z5" r:id="rId25" xr:uid="{A9B99D3D-02DF-4650-B46F-93B6AB0773FD}"/>
    <hyperlink ref="AA5" r:id="rId26" xr:uid="{8E7C5D6B-7585-41C5-ADAE-FE6FE55DA95A}"/>
    <hyperlink ref="AB5" r:id="rId27" xr:uid="{2EAC58F1-7BE9-41BE-9B05-622CF4872992}"/>
    <hyperlink ref="AC5" r:id="rId28" xr:uid="{7C63F0E9-0BE6-40D5-82B7-086EA9BBF887}"/>
    <hyperlink ref="AD5" r:id="rId29" xr:uid="{5B0C58EC-5FED-47BF-BFCD-9B5F092213A1}"/>
    <hyperlink ref="AE5" r:id="rId30" xr:uid="{4844FFDF-FCB0-4FD2-B3A8-D9C0F9E83887}"/>
    <hyperlink ref="AF5" r:id="rId31" xr:uid="{EC267660-011A-4EEF-B625-D7E337927549}"/>
    <hyperlink ref="AG5" r:id="rId32" xr:uid="{13177EA4-9229-401D-ABA1-6FAEE35734BF}"/>
    <hyperlink ref="AH5" r:id="rId33" xr:uid="{E72E5F0E-D622-42B8-BE2E-386C62EC6A96}"/>
    <hyperlink ref="AI5" r:id="rId34" xr:uid="{94F095A4-6C93-4060-924E-634DB27B628C}"/>
    <hyperlink ref="AJ5" r:id="rId35" xr:uid="{61094FFC-3827-47C9-861F-DC77A894F4CE}"/>
    <hyperlink ref="AK5" r:id="rId36" xr:uid="{A5474C1A-0A60-431A-AD1C-1AD8615130E8}"/>
    <hyperlink ref="AL5" r:id="rId37" xr:uid="{2AB6BFF0-CDD0-47C8-ADDC-43527F9D945A}"/>
    <hyperlink ref="AM5" r:id="rId38" xr:uid="{FA848B27-E999-4936-B5D1-EBD32D19C4EE}"/>
    <hyperlink ref="AN5" r:id="rId39" xr:uid="{B923469E-82BE-46BF-8D99-A0B33FE69E3E}"/>
    <hyperlink ref="AO5" r:id="rId40" xr:uid="{88BCCAB4-E963-4EA8-A586-C43C6023581C}"/>
    <hyperlink ref="AP5" r:id="rId41" xr:uid="{53AA4FDF-668F-4BE0-9345-C6785F58F77C}"/>
    <hyperlink ref="AQ5" r:id="rId42" xr:uid="{91A43060-F71C-4832-8398-AAD66A584E3B}"/>
    <hyperlink ref="AR5" r:id="rId43" xr:uid="{F1EE59E2-5944-4AE8-811E-2083825E7402}"/>
    <hyperlink ref="AS5" r:id="rId44" xr:uid="{421CFDFD-B674-49BD-8EDB-6853E1C1EDE6}"/>
    <hyperlink ref="AT5" r:id="rId45" xr:uid="{D4655C41-A31F-412E-B3FB-F4B84685CA93}"/>
    <hyperlink ref="AU5" r:id="rId46" xr:uid="{0FCDAA84-FD8A-4AEA-B615-FCAA9618868F}"/>
    <hyperlink ref="AV5" r:id="rId47" xr:uid="{FB6ACEE8-BC6B-4B57-971C-3849D10D28B5}"/>
    <hyperlink ref="AW5" r:id="rId48" xr:uid="{94E55772-63A4-407C-8A93-69E3E48DB0CD}"/>
    <hyperlink ref="AX5" r:id="rId49" xr:uid="{ACD19FAD-2E51-4CDB-9C6C-B8CA4A1CC507}"/>
    <hyperlink ref="AY5" r:id="rId50" xr:uid="{743EAA31-ED0F-4E8E-8572-ABC274A3EEF4}"/>
    <hyperlink ref="AZ5" r:id="rId51" xr:uid="{373130CB-3A1C-4927-BD73-EBD7FA5B8911}"/>
    <hyperlink ref="BA5" r:id="rId52" xr:uid="{9EB4E78E-6881-40E2-BA9C-37BBB0A0D1B8}"/>
    <hyperlink ref="BB5" r:id="rId53" xr:uid="{E9E95C1B-D8E2-4EB8-A881-4AEEE8618719}"/>
    <hyperlink ref="BC5" r:id="rId54" xr:uid="{B3C675A8-7335-48D1-ABAB-916666551FB3}"/>
    <hyperlink ref="BD5" r:id="rId55" xr:uid="{A6E49B6D-5A9B-4015-834D-BD74224561D3}"/>
    <hyperlink ref="BE5" r:id="rId56" xr:uid="{2E1938C8-2034-49E4-848F-4BB7A3776B8E}"/>
    <hyperlink ref="BF5" r:id="rId57" xr:uid="{D18781EF-984E-459C-93D5-9718FEC1BF5C}"/>
    <hyperlink ref="BG5" r:id="rId58" xr:uid="{D9B9E68F-CFDE-4021-9155-21064E73CCE6}"/>
    <hyperlink ref="BH5" r:id="rId59" xr:uid="{03C13662-2E44-4261-B432-7EE592AC761C}"/>
    <hyperlink ref="BI5" r:id="rId60" xr:uid="{A84D2F85-2C20-4864-83C3-1F36417F7E89}"/>
    <hyperlink ref="BJ5" r:id="rId61" xr:uid="{6268AC6F-98B5-4D6A-8D1E-49D75BCCCBA4}"/>
    <hyperlink ref="BK5" r:id="rId62" xr:uid="{831B5002-2C72-4DEB-9713-B5AF5162888A}"/>
    <hyperlink ref="BL5" r:id="rId63" xr:uid="{A2958B13-D4A7-4735-87ED-B60447D7544A}"/>
    <hyperlink ref="BM5" r:id="rId64" xr:uid="{9804DD36-5C1C-4AF7-B9CC-5C56C5AAB7C7}"/>
    <hyperlink ref="BN5" r:id="rId65" xr:uid="{F25E8A92-897E-46AF-B0B4-B37018433BFA}"/>
    <hyperlink ref="BO5" r:id="rId66" xr:uid="{B55749B7-CB30-40AC-9D7E-3CC422BFD79D}"/>
    <hyperlink ref="BP5" r:id="rId67" xr:uid="{AF718758-CE6F-4FCF-AC36-731B5A0224CB}"/>
    <hyperlink ref="BQ5" r:id="rId68" xr:uid="{9134CD05-AA24-4170-ACF7-B5F014B66EEC}"/>
    <hyperlink ref="BR5" r:id="rId69" xr:uid="{2FF7F9A0-3BB4-4394-B17E-E8341EAE4F48}"/>
    <hyperlink ref="BS5" r:id="rId70" xr:uid="{036EE32A-1D42-4823-8119-A01A98BAB628}"/>
    <hyperlink ref="BT5" r:id="rId71" xr:uid="{6D2EF98F-801F-42EF-B736-44D116959D99}"/>
    <hyperlink ref="BU5" r:id="rId72" xr:uid="{81EDACD8-5370-48B2-B74F-6629F95DE84C}"/>
    <hyperlink ref="BV5" r:id="rId73" xr:uid="{7C199F01-7DE1-4A4C-9B45-806FE16DA72B}"/>
    <hyperlink ref="BW5" r:id="rId74" xr:uid="{22C1AC81-7DC1-49E4-BE0A-1D30B4B14B86}"/>
    <hyperlink ref="BX5" r:id="rId75" xr:uid="{519B830B-D74F-4AAD-815A-E1555EE5FF12}"/>
    <hyperlink ref="BY5" r:id="rId76" xr:uid="{2F8B4EA9-34A7-4A23-8C68-7285E3AE42C7}"/>
    <hyperlink ref="BZ5" r:id="rId77" xr:uid="{040CA49B-5347-4800-9D5E-FA0304E89D00}"/>
    <hyperlink ref="CA5" r:id="rId78" xr:uid="{A99BAA95-89B0-4B20-A4BE-BF05C0CC2CEB}"/>
    <hyperlink ref="CB5" r:id="rId79" xr:uid="{F7A41B85-0EFB-46F4-8540-3D225FDFBCEE}"/>
    <hyperlink ref="CC5" r:id="rId80" xr:uid="{0144E6DE-9971-4DE5-8756-E4BDDC8F34C9}"/>
  </hyperlinks>
  <pageMargins left="0.7" right="0.7" top="0.75" bottom="0.75" header="0.3" footer="0.3"/>
  <pageSetup orientation="portrait" r:id="rId8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83105-CD60-40E8-9F97-C9E3D92B4678}">
  <dimension ref="F5:H6"/>
  <sheetViews>
    <sheetView showGridLines="0" workbookViewId="0">
      <selection activeCell="I8" sqref="I8"/>
    </sheetView>
  </sheetViews>
  <sheetFormatPr defaultRowHeight="14.5" x14ac:dyDescent="0.35"/>
  <cols>
    <col min="6" max="6" width="21.81640625" customWidth="1"/>
    <col min="7" max="7" width="24.90625" bestFit="1" customWidth="1"/>
    <col min="8" max="8" width="13.453125" bestFit="1" customWidth="1"/>
  </cols>
  <sheetData>
    <row r="5" spans="6:8" ht="15.5" x14ac:dyDescent="0.35">
      <c r="F5" s="6" t="s">
        <v>7</v>
      </c>
      <c r="G5" s="6" t="s">
        <v>8</v>
      </c>
      <c r="H5" s="6" t="s">
        <v>9</v>
      </c>
    </row>
    <row r="6" spans="6:8" x14ac:dyDescent="0.35">
      <c r="F6" s="9" t="s">
        <v>80</v>
      </c>
      <c r="G6" s="9" t="str">
        <f>HLOOKUP(F6,HData!$B$1:$CD$6,2,FALSE)</f>
        <v>DEVKATHE KOMAL</v>
      </c>
      <c r="H6" s="9" t="str">
        <f>HLOOKUP(F6,HData!$B$1:$CD$6,3,FALSE)</f>
        <v>Full Stack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9EDC3C4-AEA2-4053-83FE-73A45C5E78B9}">
          <x14:formula1>
            <xm:f>Data!$C$3:$C$83</xm:f>
          </x14:formula1>
          <xm:sqref>F6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037E4-7FC9-4537-93D4-FC4678FC3258}">
  <dimension ref="A1:Q82"/>
  <sheetViews>
    <sheetView topLeftCell="B1" workbookViewId="0">
      <selection activeCell="H2" sqref="H2"/>
    </sheetView>
  </sheetViews>
  <sheetFormatPr defaultRowHeight="14.5" x14ac:dyDescent="0.35"/>
  <cols>
    <col min="1" max="1" width="18.90625" bestFit="1" customWidth="1"/>
    <col min="2" max="2" width="30.26953125" style="34" bestFit="1" customWidth="1"/>
    <col min="3" max="3" width="13.453125" bestFit="1" customWidth="1"/>
    <col min="4" max="4" width="13.81640625" customWidth="1"/>
    <col min="5" max="5" width="42.453125" style="29" bestFit="1" customWidth="1"/>
    <col min="6" max="6" width="10.90625" style="28" customWidth="1"/>
    <col min="7" max="7" width="14.81640625" bestFit="1" customWidth="1"/>
    <col min="8" max="8" width="34.453125" customWidth="1"/>
    <col min="9" max="9" width="8.453125" bestFit="1" customWidth="1"/>
    <col min="12" max="12" width="15.26953125" bestFit="1" customWidth="1"/>
    <col min="13" max="13" width="19.81640625" bestFit="1" customWidth="1"/>
    <col min="14" max="14" width="23.453125" bestFit="1" customWidth="1"/>
    <col min="15" max="15" width="28.54296875" bestFit="1" customWidth="1"/>
    <col min="16" max="16" width="29.90625" bestFit="1" customWidth="1"/>
    <col min="17" max="17" width="27.7265625" bestFit="1" customWidth="1"/>
  </cols>
  <sheetData>
    <row r="1" spans="1:17" ht="15.5" x14ac:dyDescent="0.35">
      <c r="A1" s="24" t="s">
        <v>7</v>
      </c>
      <c r="B1" s="30" t="s">
        <v>8</v>
      </c>
      <c r="C1" s="24" t="s">
        <v>9</v>
      </c>
      <c r="D1" s="24" t="s">
        <v>10</v>
      </c>
      <c r="E1" s="7" t="s">
        <v>11</v>
      </c>
      <c r="F1" s="6" t="s">
        <v>12</v>
      </c>
    </row>
    <row r="2" spans="1:17" x14ac:dyDescent="0.35">
      <c r="A2" s="9" t="s">
        <v>17</v>
      </c>
      <c r="B2" s="31" t="s">
        <v>18</v>
      </c>
      <c r="C2" s="25" t="s">
        <v>19</v>
      </c>
      <c r="D2" s="9">
        <v>6399221384</v>
      </c>
      <c r="E2" s="12" t="s">
        <v>20</v>
      </c>
      <c r="F2" s="22" t="s">
        <v>21</v>
      </c>
      <c r="G2" s="35" t="s">
        <v>339</v>
      </c>
      <c r="H2" s="18" t="str">
        <f>INDEX($A$2:$F$82,2,2)</f>
        <v>ADULA LIKHITHA</v>
      </c>
    </row>
    <row r="3" spans="1:17" x14ac:dyDescent="0.35">
      <c r="A3" s="9" t="s">
        <v>26</v>
      </c>
      <c r="B3" s="31" t="s">
        <v>27</v>
      </c>
      <c r="C3" s="25" t="s">
        <v>28</v>
      </c>
      <c r="D3" s="9">
        <v>8732960724</v>
      </c>
      <c r="E3" s="12" t="s">
        <v>29</v>
      </c>
      <c r="F3" s="22" t="s">
        <v>21</v>
      </c>
      <c r="G3" s="35" t="s">
        <v>340</v>
      </c>
      <c r="H3" s="18" t="str">
        <f>INDEX($E$2:$E$81,2)</f>
        <v>adulalikitha.fullstack@gmail.com</v>
      </c>
    </row>
    <row r="4" spans="1:17" x14ac:dyDescent="0.35">
      <c r="A4" s="9" t="s">
        <v>31</v>
      </c>
      <c r="B4" s="31" t="s">
        <v>32</v>
      </c>
      <c r="C4" s="25" t="s">
        <v>28</v>
      </c>
      <c r="D4" s="9">
        <v>3928683138</v>
      </c>
      <c r="E4" s="12" t="s">
        <v>33</v>
      </c>
      <c r="F4" s="22" t="s">
        <v>34</v>
      </c>
    </row>
    <row r="5" spans="1:17" ht="15.5" x14ac:dyDescent="0.35">
      <c r="A5" s="9" t="s">
        <v>36</v>
      </c>
      <c r="B5" s="31" t="s">
        <v>37</v>
      </c>
      <c r="C5" s="25" t="s">
        <v>28</v>
      </c>
      <c r="D5" s="9">
        <v>6302977515</v>
      </c>
      <c r="E5" s="12" t="s">
        <v>38</v>
      </c>
      <c r="F5" s="22" t="s">
        <v>34</v>
      </c>
      <c r="M5" s="30" t="s">
        <v>8</v>
      </c>
      <c r="N5" s="31" t="s">
        <v>18</v>
      </c>
      <c r="O5" s="31" t="s">
        <v>27</v>
      </c>
      <c r="P5" s="31" t="s">
        <v>32</v>
      </c>
      <c r="Q5" s="31" t="s">
        <v>37</v>
      </c>
    </row>
    <row r="6" spans="1:17" ht="15.5" x14ac:dyDescent="0.35">
      <c r="A6" s="9" t="s">
        <v>40</v>
      </c>
      <c r="B6" s="31" t="s">
        <v>41</v>
      </c>
      <c r="C6" s="25" t="s">
        <v>28</v>
      </c>
      <c r="D6" s="9">
        <v>3285643454</v>
      </c>
      <c r="E6" s="12" t="s">
        <v>42</v>
      </c>
      <c r="F6" s="22" t="s">
        <v>34</v>
      </c>
      <c r="M6" s="24" t="s">
        <v>9</v>
      </c>
      <c r="N6" s="25" t="s">
        <v>19</v>
      </c>
      <c r="O6" s="25" t="s">
        <v>28</v>
      </c>
      <c r="P6" s="25" t="s">
        <v>28</v>
      </c>
      <c r="Q6" s="25" t="s">
        <v>28</v>
      </c>
    </row>
    <row r="7" spans="1:17" ht="15.5" x14ac:dyDescent="0.35">
      <c r="A7" s="9" t="s">
        <v>44</v>
      </c>
      <c r="B7" s="31" t="s">
        <v>45</v>
      </c>
      <c r="C7" s="25" t="s">
        <v>19</v>
      </c>
      <c r="D7" s="9">
        <v>6204804746</v>
      </c>
      <c r="E7" s="12" t="s">
        <v>46</v>
      </c>
      <c r="F7" s="22" t="s">
        <v>34</v>
      </c>
      <c r="M7" s="24" t="s">
        <v>10</v>
      </c>
      <c r="N7" s="9">
        <v>6399221384</v>
      </c>
      <c r="O7" s="9">
        <v>8732960724</v>
      </c>
      <c r="P7" s="9">
        <v>3928683138</v>
      </c>
      <c r="Q7" s="9">
        <v>6302977515</v>
      </c>
    </row>
    <row r="8" spans="1:17" ht="15.5" x14ac:dyDescent="0.35">
      <c r="A8" s="9" t="s">
        <v>48</v>
      </c>
      <c r="B8" s="31" t="s">
        <v>49</v>
      </c>
      <c r="C8" s="25" t="s">
        <v>28</v>
      </c>
      <c r="D8" s="9">
        <v>8402592334</v>
      </c>
      <c r="E8" s="12" t="s">
        <v>50</v>
      </c>
      <c r="F8" s="22" t="s">
        <v>34</v>
      </c>
      <c r="M8" s="7" t="s">
        <v>11</v>
      </c>
      <c r="N8" s="12" t="s">
        <v>20</v>
      </c>
      <c r="O8" s="12" t="s">
        <v>29</v>
      </c>
      <c r="P8" s="12" t="s">
        <v>33</v>
      </c>
      <c r="Q8" s="12" t="s">
        <v>38</v>
      </c>
    </row>
    <row r="9" spans="1:17" ht="15.5" x14ac:dyDescent="0.35">
      <c r="A9" s="9" t="s">
        <v>52</v>
      </c>
      <c r="B9" s="31" t="s">
        <v>53</v>
      </c>
      <c r="C9" s="25" t="s">
        <v>28</v>
      </c>
      <c r="D9" s="9">
        <v>1770577932</v>
      </c>
      <c r="E9" s="12" t="s">
        <v>54</v>
      </c>
      <c r="F9" s="22" t="s">
        <v>34</v>
      </c>
      <c r="M9" s="6" t="s">
        <v>12</v>
      </c>
      <c r="N9" s="22" t="s">
        <v>21</v>
      </c>
      <c r="O9" s="22" t="s">
        <v>21</v>
      </c>
      <c r="P9" s="22" t="s">
        <v>34</v>
      </c>
      <c r="Q9" s="22" t="s">
        <v>34</v>
      </c>
    </row>
    <row r="10" spans="1:17" x14ac:dyDescent="0.35">
      <c r="A10" s="9" t="s">
        <v>56</v>
      </c>
      <c r="B10" s="31" t="s">
        <v>57</v>
      </c>
      <c r="C10" s="25" t="s">
        <v>19</v>
      </c>
      <c r="D10" s="9">
        <v>1087593685</v>
      </c>
      <c r="E10" s="12" t="s">
        <v>58</v>
      </c>
      <c r="F10" s="22" t="s">
        <v>21</v>
      </c>
    </row>
    <row r="11" spans="1:17" x14ac:dyDescent="0.35">
      <c r="A11" s="9" t="s">
        <v>60</v>
      </c>
      <c r="B11" s="31" t="s">
        <v>61</v>
      </c>
      <c r="C11" s="25" t="s">
        <v>28</v>
      </c>
      <c r="D11" s="9">
        <v>1693682470</v>
      </c>
      <c r="E11" s="12" t="s">
        <v>62</v>
      </c>
      <c r="F11" s="22" t="s">
        <v>21</v>
      </c>
    </row>
    <row r="12" spans="1:17" x14ac:dyDescent="0.35">
      <c r="A12" s="9" t="s">
        <v>64</v>
      </c>
      <c r="B12" s="31" t="s">
        <v>65</v>
      </c>
      <c r="C12" s="25" t="s">
        <v>28</v>
      </c>
      <c r="D12" s="9">
        <v>1821308586</v>
      </c>
      <c r="E12" s="12" t="s">
        <v>66</v>
      </c>
      <c r="F12" s="22" t="s">
        <v>34</v>
      </c>
      <c r="L12" s="35" t="s">
        <v>341</v>
      </c>
      <c r="M12" s="18" t="str">
        <f>INDEX($N$5:$Q$9,1,2)</f>
        <v>ADULA LIKHITHA</v>
      </c>
    </row>
    <row r="13" spans="1:17" x14ac:dyDescent="0.35">
      <c r="A13" s="9" t="s">
        <v>68</v>
      </c>
      <c r="B13" s="31" t="s">
        <v>69</v>
      </c>
      <c r="C13" s="25" t="s">
        <v>28</v>
      </c>
      <c r="D13" s="9">
        <v>1683546545</v>
      </c>
      <c r="E13" s="12" t="s">
        <v>70</v>
      </c>
      <c r="F13" s="22" t="s">
        <v>34</v>
      </c>
      <c r="L13" s="35" t="s">
        <v>340</v>
      </c>
      <c r="M13" s="18" t="str">
        <f>INDEX($N$5:$Q$5,2)</f>
        <v>ADULA LIKHITHA</v>
      </c>
    </row>
    <row r="14" spans="1:17" x14ac:dyDescent="0.35">
      <c r="A14" s="9" t="s">
        <v>72</v>
      </c>
      <c r="B14" s="31" t="s">
        <v>73</v>
      </c>
      <c r="C14" s="25" t="s">
        <v>28</v>
      </c>
      <c r="D14" s="9">
        <v>5506439807</v>
      </c>
      <c r="E14" s="12" t="s">
        <v>74</v>
      </c>
      <c r="F14" s="22" t="s">
        <v>21</v>
      </c>
    </row>
    <row r="15" spans="1:17" x14ac:dyDescent="0.35">
      <c r="A15" s="9" t="s">
        <v>76</v>
      </c>
      <c r="B15" s="31" t="s">
        <v>77</v>
      </c>
      <c r="C15" s="25" t="s">
        <v>19</v>
      </c>
      <c r="D15" s="9">
        <v>3565997600</v>
      </c>
      <c r="E15" s="12" t="s">
        <v>78</v>
      </c>
      <c r="F15" s="22" t="s">
        <v>34</v>
      </c>
    </row>
    <row r="16" spans="1:17" x14ac:dyDescent="0.35">
      <c r="A16" s="9" t="s">
        <v>80</v>
      </c>
      <c r="B16" s="31" t="s">
        <v>81</v>
      </c>
      <c r="C16" s="25" t="s">
        <v>28</v>
      </c>
      <c r="D16" s="9">
        <v>2685014153</v>
      </c>
      <c r="E16" s="12" t="s">
        <v>82</v>
      </c>
      <c r="F16" s="22" t="s">
        <v>21</v>
      </c>
    </row>
    <row r="17" spans="1:6" x14ac:dyDescent="0.35">
      <c r="A17" s="9" t="s">
        <v>84</v>
      </c>
      <c r="B17" s="31" t="s">
        <v>85</v>
      </c>
      <c r="C17" s="25" t="s">
        <v>28</v>
      </c>
      <c r="D17" s="9">
        <v>8144007188</v>
      </c>
      <c r="E17" s="12" t="s">
        <v>86</v>
      </c>
      <c r="F17" s="22" t="s">
        <v>34</v>
      </c>
    </row>
    <row r="18" spans="1:6" x14ac:dyDescent="0.35">
      <c r="A18" s="9" t="s">
        <v>88</v>
      </c>
      <c r="B18" s="31" t="s">
        <v>89</v>
      </c>
      <c r="C18" s="25" t="s">
        <v>19</v>
      </c>
      <c r="D18" s="9">
        <v>5451418853</v>
      </c>
      <c r="E18" s="12" t="s">
        <v>90</v>
      </c>
      <c r="F18" s="22" t="s">
        <v>21</v>
      </c>
    </row>
    <row r="19" spans="1:6" x14ac:dyDescent="0.35">
      <c r="A19" s="9" t="s">
        <v>92</v>
      </c>
      <c r="B19" s="31" t="s">
        <v>93</v>
      </c>
      <c r="C19" s="25" t="s">
        <v>28</v>
      </c>
      <c r="D19" s="9">
        <v>2352093828</v>
      </c>
      <c r="E19" s="12" t="s">
        <v>94</v>
      </c>
      <c r="F19" s="22" t="s">
        <v>21</v>
      </c>
    </row>
    <row r="20" spans="1:6" x14ac:dyDescent="0.35">
      <c r="A20" s="9" t="s">
        <v>96</v>
      </c>
      <c r="B20" s="31" t="s">
        <v>97</v>
      </c>
      <c r="C20" s="25" t="s">
        <v>28</v>
      </c>
      <c r="D20" s="9">
        <v>4851546652</v>
      </c>
      <c r="E20" s="12" t="s">
        <v>98</v>
      </c>
      <c r="F20" s="22" t="s">
        <v>21</v>
      </c>
    </row>
    <row r="21" spans="1:6" x14ac:dyDescent="0.35">
      <c r="A21" s="9" t="s">
        <v>100</v>
      </c>
      <c r="B21" s="31" t="s">
        <v>101</v>
      </c>
      <c r="C21" s="25" t="s">
        <v>19</v>
      </c>
      <c r="D21" s="9">
        <v>6604423032</v>
      </c>
      <c r="E21" s="12" t="s">
        <v>102</v>
      </c>
      <c r="F21" s="22" t="s">
        <v>34</v>
      </c>
    </row>
    <row r="22" spans="1:6" x14ac:dyDescent="0.35">
      <c r="A22" s="9" t="s">
        <v>104</v>
      </c>
      <c r="B22" s="31" t="s">
        <v>105</v>
      </c>
      <c r="C22" s="25" t="s">
        <v>19</v>
      </c>
      <c r="D22" s="9">
        <v>4267924443</v>
      </c>
      <c r="E22" s="12" t="s">
        <v>106</v>
      </c>
      <c r="F22" s="22" t="s">
        <v>21</v>
      </c>
    </row>
    <row r="23" spans="1:6" x14ac:dyDescent="0.35">
      <c r="A23" s="9" t="s">
        <v>108</v>
      </c>
      <c r="B23" s="31" t="s">
        <v>109</v>
      </c>
      <c r="C23" s="25" t="s">
        <v>28</v>
      </c>
      <c r="D23" s="9">
        <v>2776428499</v>
      </c>
      <c r="E23" s="12" t="s">
        <v>110</v>
      </c>
      <c r="F23" s="22" t="s">
        <v>34</v>
      </c>
    </row>
    <row r="24" spans="1:6" x14ac:dyDescent="0.35">
      <c r="A24" s="9" t="s">
        <v>112</v>
      </c>
      <c r="B24" s="31" t="s">
        <v>113</v>
      </c>
      <c r="C24" s="25" t="s">
        <v>28</v>
      </c>
      <c r="D24" s="9">
        <v>2344591250</v>
      </c>
      <c r="E24" s="12" t="s">
        <v>114</v>
      </c>
      <c r="F24" s="22" t="s">
        <v>21</v>
      </c>
    </row>
    <row r="25" spans="1:6" x14ac:dyDescent="0.35">
      <c r="A25" s="9" t="s">
        <v>116</v>
      </c>
      <c r="B25" s="31" t="s">
        <v>117</v>
      </c>
      <c r="C25" s="25" t="s">
        <v>28</v>
      </c>
      <c r="D25" s="9">
        <v>4564000793</v>
      </c>
      <c r="E25" s="12" t="s">
        <v>118</v>
      </c>
      <c r="F25" s="22" t="s">
        <v>34</v>
      </c>
    </row>
    <row r="26" spans="1:6" x14ac:dyDescent="0.35">
      <c r="A26" s="9" t="s">
        <v>120</v>
      </c>
      <c r="B26" s="31" t="s">
        <v>121</v>
      </c>
      <c r="C26" s="25" t="s">
        <v>28</v>
      </c>
      <c r="D26" s="9">
        <v>7831800139</v>
      </c>
      <c r="E26" s="12" t="s">
        <v>122</v>
      </c>
      <c r="F26" s="22" t="s">
        <v>34</v>
      </c>
    </row>
    <row r="27" spans="1:6" x14ac:dyDescent="0.35">
      <c r="A27" s="9" t="s">
        <v>124</v>
      </c>
      <c r="B27" s="31" t="s">
        <v>125</v>
      </c>
      <c r="C27" s="25" t="s">
        <v>28</v>
      </c>
      <c r="D27" s="9">
        <v>1359937879</v>
      </c>
      <c r="E27" s="12" t="s">
        <v>126</v>
      </c>
      <c r="F27" s="22" t="s">
        <v>21</v>
      </c>
    </row>
    <row r="28" spans="1:6" x14ac:dyDescent="0.35">
      <c r="A28" s="9" t="s">
        <v>128</v>
      </c>
      <c r="B28" s="31" t="s">
        <v>129</v>
      </c>
      <c r="C28" s="25" t="s">
        <v>19</v>
      </c>
      <c r="D28" s="9">
        <v>8357059907</v>
      </c>
      <c r="E28" s="12" t="s">
        <v>130</v>
      </c>
      <c r="F28" s="22" t="s">
        <v>21</v>
      </c>
    </row>
    <row r="29" spans="1:6" x14ac:dyDescent="0.35">
      <c r="A29" s="9" t="s">
        <v>132</v>
      </c>
      <c r="B29" s="31" t="s">
        <v>133</v>
      </c>
      <c r="C29" s="25" t="s">
        <v>28</v>
      </c>
      <c r="D29" s="9">
        <v>8195300576</v>
      </c>
      <c r="E29" s="12" t="s">
        <v>134</v>
      </c>
      <c r="F29" s="22" t="s">
        <v>21</v>
      </c>
    </row>
    <row r="30" spans="1:6" x14ac:dyDescent="0.35">
      <c r="A30" s="9" t="s">
        <v>136</v>
      </c>
      <c r="B30" s="31" t="s">
        <v>137</v>
      </c>
      <c r="C30" s="25" t="s">
        <v>28</v>
      </c>
      <c r="D30" s="9">
        <v>3908490120</v>
      </c>
      <c r="E30" s="12" t="s">
        <v>138</v>
      </c>
      <c r="F30" s="22" t="s">
        <v>34</v>
      </c>
    </row>
    <row r="31" spans="1:6" x14ac:dyDescent="0.35">
      <c r="A31" s="9" t="s">
        <v>140</v>
      </c>
      <c r="B31" s="31" t="s">
        <v>141</v>
      </c>
      <c r="C31" s="25" t="s">
        <v>28</v>
      </c>
      <c r="D31" s="9">
        <v>6654686097</v>
      </c>
      <c r="E31" s="12" t="s">
        <v>142</v>
      </c>
      <c r="F31" s="22" t="s">
        <v>34</v>
      </c>
    </row>
    <row r="32" spans="1:6" x14ac:dyDescent="0.35">
      <c r="A32" s="9" t="s">
        <v>144</v>
      </c>
      <c r="B32" s="31" t="s">
        <v>145</v>
      </c>
      <c r="C32" s="25" t="s">
        <v>28</v>
      </c>
      <c r="D32" s="9">
        <v>3176554504</v>
      </c>
      <c r="E32" s="12" t="s">
        <v>146</v>
      </c>
      <c r="F32" s="22" t="s">
        <v>34</v>
      </c>
    </row>
    <row r="33" spans="1:6" x14ac:dyDescent="0.35">
      <c r="A33" s="9" t="s">
        <v>148</v>
      </c>
      <c r="B33" s="31" t="s">
        <v>149</v>
      </c>
      <c r="C33" s="25" t="s">
        <v>19</v>
      </c>
      <c r="D33" s="9">
        <v>7375541777</v>
      </c>
      <c r="E33" s="12" t="s">
        <v>150</v>
      </c>
      <c r="F33" s="22" t="s">
        <v>34</v>
      </c>
    </row>
    <row r="34" spans="1:6" x14ac:dyDescent="0.35">
      <c r="A34" s="9" t="s">
        <v>152</v>
      </c>
      <c r="B34" s="31" t="s">
        <v>153</v>
      </c>
      <c r="C34" s="25" t="s">
        <v>19</v>
      </c>
      <c r="D34" s="9">
        <v>2307603936</v>
      </c>
      <c r="E34" s="12" t="s">
        <v>154</v>
      </c>
      <c r="F34" s="22" t="s">
        <v>21</v>
      </c>
    </row>
    <row r="35" spans="1:6" x14ac:dyDescent="0.35">
      <c r="A35" s="9" t="s">
        <v>155</v>
      </c>
      <c r="B35" s="31" t="s">
        <v>156</v>
      </c>
      <c r="C35" s="25" t="s">
        <v>28</v>
      </c>
      <c r="D35" s="9">
        <v>7539961295</v>
      </c>
      <c r="E35" s="12" t="s">
        <v>157</v>
      </c>
      <c r="F35" s="22" t="s">
        <v>21</v>
      </c>
    </row>
    <row r="36" spans="1:6" x14ac:dyDescent="0.35">
      <c r="A36" s="9" t="s">
        <v>159</v>
      </c>
      <c r="B36" s="31" t="s">
        <v>160</v>
      </c>
      <c r="C36" s="25" t="s">
        <v>28</v>
      </c>
      <c r="D36" s="9">
        <v>8714929594</v>
      </c>
      <c r="E36" s="12" t="s">
        <v>161</v>
      </c>
      <c r="F36" s="22" t="s">
        <v>21</v>
      </c>
    </row>
    <row r="37" spans="1:6" x14ac:dyDescent="0.35">
      <c r="A37" s="9" t="s">
        <v>163</v>
      </c>
      <c r="B37" s="31" t="s">
        <v>164</v>
      </c>
      <c r="C37" s="25" t="s">
        <v>19</v>
      </c>
      <c r="D37" s="9">
        <v>6748495954</v>
      </c>
      <c r="E37" s="12" t="s">
        <v>165</v>
      </c>
      <c r="F37" s="22" t="s">
        <v>21</v>
      </c>
    </row>
    <row r="38" spans="1:6" x14ac:dyDescent="0.35">
      <c r="A38" s="9" t="s">
        <v>167</v>
      </c>
      <c r="B38" s="31" t="s">
        <v>168</v>
      </c>
      <c r="C38" s="25" t="s">
        <v>28</v>
      </c>
      <c r="D38" s="9">
        <v>5598318903</v>
      </c>
      <c r="E38" s="12" t="s">
        <v>169</v>
      </c>
      <c r="F38" s="22" t="s">
        <v>21</v>
      </c>
    </row>
    <row r="39" spans="1:6" x14ac:dyDescent="0.35">
      <c r="A39" s="9" t="s">
        <v>171</v>
      </c>
      <c r="B39" s="31" t="s">
        <v>172</v>
      </c>
      <c r="C39" s="25" t="s">
        <v>28</v>
      </c>
      <c r="D39" s="9">
        <v>5366755536</v>
      </c>
      <c r="E39" s="12" t="s">
        <v>173</v>
      </c>
      <c r="F39" s="22" t="s">
        <v>34</v>
      </c>
    </row>
    <row r="40" spans="1:6" x14ac:dyDescent="0.35">
      <c r="A40" s="9" t="s">
        <v>175</v>
      </c>
      <c r="B40" s="31" t="s">
        <v>176</v>
      </c>
      <c r="C40" s="25" t="s">
        <v>19</v>
      </c>
      <c r="D40" s="9">
        <v>5685425899</v>
      </c>
      <c r="E40" s="12" t="s">
        <v>177</v>
      </c>
      <c r="F40" s="22" t="s">
        <v>21</v>
      </c>
    </row>
    <row r="41" spans="1:6" x14ac:dyDescent="0.35">
      <c r="A41" s="9" t="s">
        <v>179</v>
      </c>
      <c r="B41" s="31" t="s">
        <v>180</v>
      </c>
      <c r="C41" s="25" t="s">
        <v>19</v>
      </c>
      <c r="D41" s="9">
        <v>8546891943</v>
      </c>
      <c r="E41" s="12" t="s">
        <v>181</v>
      </c>
      <c r="F41" s="22" t="s">
        <v>34</v>
      </c>
    </row>
    <row r="42" spans="1:6" x14ac:dyDescent="0.35">
      <c r="A42" s="9" t="s">
        <v>183</v>
      </c>
      <c r="B42" s="31" t="s">
        <v>184</v>
      </c>
      <c r="C42" s="25" t="s">
        <v>19</v>
      </c>
      <c r="D42" s="9">
        <v>7905481507</v>
      </c>
      <c r="E42" s="12" t="s">
        <v>185</v>
      </c>
      <c r="F42" s="22" t="s">
        <v>34</v>
      </c>
    </row>
    <row r="43" spans="1:6" x14ac:dyDescent="0.35">
      <c r="A43" s="9" t="s">
        <v>187</v>
      </c>
      <c r="B43" s="31" t="s">
        <v>188</v>
      </c>
      <c r="C43" s="25" t="s">
        <v>19</v>
      </c>
      <c r="D43" s="9">
        <v>5681445328</v>
      </c>
      <c r="E43" s="12" t="s">
        <v>189</v>
      </c>
      <c r="F43" s="22" t="s">
        <v>21</v>
      </c>
    </row>
    <row r="44" spans="1:6" x14ac:dyDescent="0.35">
      <c r="A44" s="9" t="s">
        <v>190</v>
      </c>
      <c r="B44" s="31" t="s">
        <v>191</v>
      </c>
      <c r="C44" s="25" t="s">
        <v>28</v>
      </c>
      <c r="D44" s="9">
        <v>1576469041</v>
      </c>
      <c r="E44" s="12" t="s">
        <v>192</v>
      </c>
      <c r="F44" s="22" t="s">
        <v>34</v>
      </c>
    </row>
    <row r="45" spans="1:6" x14ac:dyDescent="0.35">
      <c r="A45" s="9" t="s">
        <v>194</v>
      </c>
      <c r="B45" s="31" t="s">
        <v>195</v>
      </c>
      <c r="C45" s="25" t="s">
        <v>28</v>
      </c>
      <c r="D45" s="9">
        <v>7244391357</v>
      </c>
      <c r="E45" s="12" t="s">
        <v>196</v>
      </c>
      <c r="F45" s="22" t="s">
        <v>34</v>
      </c>
    </row>
    <row r="46" spans="1:6" x14ac:dyDescent="0.35">
      <c r="A46" s="9" t="s">
        <v>198</v>
      </c>
      <c r="B46" s="31" t="s">
        <v>199</v>
      </c>
      <c r="C46" s="25" t="s">
        <v>28</v>
      </c>
      <c r="D46" s="9">
        <v>5713887644</v>
      </c>
      <c r="E46" s="12" t="s">
        <v>200</v>
      </c>
      <c r="F46" s="22" t="s">
        <v>34</v>
      </c>
    </row>
    <row r="47" spans="1:6" x14ac:dyDescent="0.35">
      <c r="A47" s="9" t="s">
        <v>202</v>
      </c>
      <c r="B47" s="31" t="s">
        <v>203</v>
      </c>
      <c r="C47" s="25" t="s">
        <v>19</v>
      </c>
      <c r="D47" s="9">
        <v>4360003876</v>
      </c>
      <c r="E47" s="12" t="s">
        <v>204</v>
      </c>
      <c r="F47" s="22" t="s">
        <v>34</v>
      </c>
    </row>
    <row r="48" spans="1:6" x14ac:dyDescent="0.35">
      <c r="A48" s="9" t="s">
        <v>206</v>
      </c>
      <c r="B48" s="31" t="s">
        <v>207</v>
      </c>
      <c r="C48" s="25" t="s">
        <v>28</v>
      </c>
      <c r="D48" s="9">
        <v>6232183694</v>
      </c>
      <c r="E48" s="12" t="s">
        <v>208</v>
      </c>
      <c r="F48" s="22" t="s">
        <v>34</v>
      </c>
    </row>
    <row r="49" spans="1:6" x14ac:dyDescent="0.35">
      <c r="A49" s="9" t="s">
        <v>210</v>
      </c>
      <c r="B49" s="31" t="s">
        <v>211</v>
      </c>
      <c r="C49" s="25" t="s">
        <v>28</v>
      </c>
      <c r="D49" s="9">
        <v>6682877186</v>
      </c>
      <c r="E49" s="12" t="s">
        <v>212</v>
      </c>
      <c r="F49" s="22" t="s">
        <v>21</v>
      </c>
    </row>
    <row r="50" spans="1:6" x14ac:dyDescent="0.35">
      <c r="A50" s="9" t="s">
        <v>214</v>
      </c>
      <c r="B50" s="31" t="s">
        <v>215</v>
      </c>
      <c r="C50" s="25" t="s">
        <v>19</v>
      </c>
      <c r="D50" s="9">
        <v>8911831176</v>
      </c>
      <c r="E50" s="12" t="s">
        <v>216</v>
      </c>
      <c r="F50" s="22" t="s">
        <v>34</v>
      </c>
    </row>
    <row r="51" spans="1:6" x14ac:dyDescent="0.35">
      <c r="A51" s="9" t="s">
        <v>218</v>
      </c>
      <c r="B51" s="31" t="s">
        <v>219</v>
      </c>
      <c r="C51" s="25" t="s">
        <v>28</v>
      </c>
      <c r="D51" s="9">
        <v>5328455783</v>
      </c>
      <c r="E51" s="12" t="s">
        <v>220</v>
      </c>
      <c r="F51" s="22" t="s">
        <v>21</v>
      </c>
    </row>
    <row r="52" spans="1:6" x14ac:dyDescent="0.35">
      <c r="A52" s="9" t="s">
        <v>222</v>
      </c>
      <c r="B52" s="31" t="s">
        <v>223</v>
      </c>
      <c r="C52" s="25" t="s">
        <v>19</v>
      </c>
      <c r="D52" s="9">
        <v>4825148027</v>
      </c>
      <c r="E52" s="12" t="s">
        <v>224</v>
      </c>
      <c r="F52" s="22" t="s">
        <v>34</v>
      </c>
    </row>
    <row r="53" spans="1:6" x14ac:dyDescent="0.35">
      <c r="A53" s="9" t="s">
        <v>226</v>
      </c>
      <c r="B53" s="31" t="s">
        <v>227</v>
      </c>
      <c r="C53" s="25" t="s">
        <v>28</v>
      </c>
      <c r="D53" s="9">
        <v>3228331930</v>
      </c>
      <c r="E53" s="12" t="s">
        <v>228</v>
      </c>
      <c r="F53" s="22" t="s">
        <v>34</v>
      </c>
    </row>
    <row r="54" spans="1:6" x14ac:dyDescent="0.35">
      <c r="A54" s="9" t="s">
        <v>230</v>
      </c>
      <c r="B54" s="31" t="s">
        <v>231</v>
      </c>
      <c r="C54" s="25" t="s">
        <v>28</v>
      </c>
      <c r="D54" s="9">
        <v>7158666834</v>
      </c>
      <c r="E54" s="12" t="s">
        <v>232</v>
      </c>
      <c r="F54" s="22" t="s">
        <v>34</v>
      </c>
    </row>
    <row r="55" spans="1:6" x14ac:dyDescent="0.35">
      <c r="A55" s="9" t="s">
        <v>234</v>
      </c>
      <c r="B55" s="31" t="s">
        <v>235</v>
      </c>
      <c r="C55" s="25" t="s">
        <v>28</v>
      </c>
      <c r="D55" s="9">
        <v>7998839021</v>
      </c>
      <c r="E55" s="12" t="s">
        <v>236</v>
      </c>
      <c r="F55" s="22" t="s">
        <v>34</v>
      </c>
    </row>
    <row r="56" spans="1:6" x14ac:dyDescent="0.35">
      <c r="A56" s="9" t="s">
        <v>238</v>
      </c>
      <c r="B56" s="31" t="s">
        <v>239</v>
      </c>
      <c r="C56" s="25" t="s">
        <v>28</v>
      </c>
      <c r="D56" s="9">
        <v>8550635195</v>
      </c>
      <c r="E56" s="12" t="s">
        <v>240</v>
      </c>
      <c r="F56" s="22" t="s">
        <v>21</v>
      </c>
    </row>
    <row r="57" spans="1:6" x14ac:dyDescent="0.35">
      <c r="A57" s="9" t="s">
        <v>242</v>
      </c>
      <c r="B57" s="31" t="s">
        <v>243</v>
      </c>
      <c r="C57" s="25" t="s">
        <v>28</v>
      </c>
      <c r="D57" s="9">
        <v>8733465367</v>
      </c>
      <c r="E57" s="12" t="s">
        <v>244</v>
      </c>
      <c r="F57" s="22" t="s">
        <v>21</v>
      </c>
    </row>
    <row r="58" spans="1:6" x14ac:dyDescent="0.35">
      <c r="A58" s="9" t="s">
        <v>246</v>
      </c>
      <c r="B58" s="31" t="s">
        <v>247</v>
      </c>
      <c r="C58" s="25" t="s">
        <v>19</v>
      </c>
      <c r="D58" s="9">
        <v>6153044829</v>
      </c>
      <c r="E58" s="12" t="s">
        <v>248</v>
      </c>
      <c r="F58" s="22" t="s">
        <v>34</v>
      </c>
    </row>
    <row r="59" spans="1:6" x14ac:dyDescent="0.35">
      <c r="A59" s="9" t="s">
        <v>250</v>
      </c>
      <c r="B59" s="31" t="s">
        <v>251</v>
      </c>
      <c r="C59" s="25" t="s">
        <v>28</v>
      </c>
      <c r="D59" s="9">
        <v>4496254693</v>
      </c>
      <c r="E59" s="12" t="s">
        <v>252</v>
      </c>
      <c r="F59" s="22" t="s">
        <v>34</v>
      </c>
    </row>
    <row r="60" spans="1:6" x14ac:dyDescent="0.35">
      <c r="A60" s="9" t="s">
        <v>254</v>
      </c>
      <c r="B60" s="31" t="s">
        <v>255</v>
      </c>
      <c r="C60" s="25" t="s">
        <v>28</v>
      </c>
      <c r="D60" s="9">
        <v>2881088394</v>
      </c>
      <c r="E60" s="12" t="s">
        <v>256</v>
      </c>
      <c r="F60" s="22" t="s">
        <v>21</v>
      </c>
    </row>
    <row r="61" spans="1:6" x14ac:dyDescent="0.35">
      <c r="A61" s="9" t="s">
        <v>257</v>
      </c>
      <c r="B61" s="31" t="s">
        <v>258</v>
      </c>
      <c r="C61" s="25" t="s">
        <v>19</v>
      </c>
      <c r="D61" s="9">
        <v>3401449282</v>
      </c>
      <c r="E61" s="12" t="s">
        <v>259</v>
      </c>
      <c r="F61" s="22" t="s">
        <v>34</v>
      </c>
    </row>
    <row r="62" spans="1:6" x14ac:dyDescent="0.35">
      <c r="A62" s="9" t="s">
        <v>261</v>
      </c>
      <c r="B62" s="31" t="s">
        <v>262</v>
      </c>
      <c r="C62" s="25" t="s">
        <v>28</v>
      </c>
      <c r="D62" s="9">
        <v>4405995363</v>
      </c>
      <c r="E62" s="12" t="s">
        <v>263</v>
      </c>
      <c r="F62" s="22" t="s">
        <v>34</v>
      </c>
    </row>
    <row r="63" spans="1:6" x14ac:dyDescent="0.35">
      <c r="A63" s="9" t="s">
        <v>265</v>
      </c>
      <c r="B63" s="31" t="s">
        <v>266</v>
      </c>
      <c r="C63" s="25" t="s">
        <v>28</v>
      </c>
      <c r="D63" s="9">
        <v>2219599156</v>
      </c>
      <c r="E63" s="12" t="s">
        <v>267</v>
      </c>
      <c r="F63" s="22" t="s">
        <v>34</v>
      </c>
    </row>
    <row r="64" spans="1:6" x14ac:dyDescent="0.35">
      <c r="A64" s="9" t="s">
        <v>268</v>
      </c>
      <c r="B64" s="31" t="s">
        <v>269</v>
      </c>
      <c r="C64" s="25" t="s">
        <v>19</v>
      </c>
      <c r="D64" s="9">
        <v>3482112190</v>
      </c>
      <c r="E64" s="12" t="s">
        <v>270</v>
      </c>
      <c r="F64" s="22" t="s">
        <v>34</v>
      </c>
    </row>
    <row r="65" spans="1:6" x14ac:dyDescent="0.35">
      <c r="A65" s="9" t="s">
        <v>272</v>
      </c>
      <c r="B65" s="31" t="s">
        <v>273</v>
      </c>
      <c r="C65" s="25" t="s">
        <v>28</v>
      </c>
      <c r="D65" s="9">
        <v>8411360361</v>
      </c>
      <c r="E65" s="12" t="s">
        <v>274</v>
      </c>
      <c r="F65" s="22" t="s">
        <v>34</v>
      </c>
    </row>
    <row r="66" spans="1:6" ht="15.5" x14ac:dyDescent="0.35">
      <c r="A66" s="9" t="s">
        <v>276</v>
      </c>
      <c r="B66" s="32" t="s">
        <v>277</v>
      </c>
      <c r="C66" s="26" t="s">
        <v>19</v>
      </c>
      <c r="D66" s="9">
        <v>2842414479</v>
      </c>
      <c r="E66" s="12" t="s">
        <v>278</v>
      </c>
      <c r="F66" s="23" t="s">
        <v>34</v>
      </c>
    </row>
    <row r="67" spans="1:6" ht="15.5" x14ac:dyDescent="0.35">
      <c r="A67" s="9" t="s">
        <v>280</v>
      </c>
      <c r="B67" s="32" t="s">
        <v>281</v>
      </c>
      <c r="C67" s="26" t="s">
        <v>28</v>
      </c>
      <c r="D67" s="9">
        <v>5876113945</v>
      </c>
      <c r="E67" s="12" t="s">
        <v>282</v>
      </c>
      <c r="F67" s="23" t="s">
        <v>21</v>
      </c>
    </row>
    <row r="68" spans="1:6" ht="15.5" x14ac:dyDescent="0.35">
      <c r="A68" s="9" t="s">
        <v>284</v>
      </c>
      <c r="B68" s="32" t="s">
        <v>285</v>
      </c>
      <c r="C68" s="26" t="s">
        <v>28</v>
      </c>
      <c r="D68" s="9">
        <v>4273126076</v>
      </c>
      <c r="E68" s="12" t="s">
        <v>286</v>
      </c>
      <c r="F68" s="23" t="s">
        <v>34</v>
      </c>
    </row>
    <row r="69" spans="1:6" ht="15.5" x14ac:dyDescent="0.35">
      <c r="A69" s="9" t="s">
        <v>288</v>
      </c>
      <c r="B69" s="32" t="s">
        <v>289</v>
      </c>
      <c r="C69" s="26" t="s">
        <v>28</v>
      </c>
      <c r="D69" s="9">
        <v>8077085042</v>
      </c>
      <c r="E69" s="12" t="s">
        <v>290</v>
      </c>
      <c r="F69" s="23" t="s">
        <v>21</v>
      </c>
    </row>
    <row r="70" spans="1:6" ht="15.5" x14ac:dyDescent="0.35">
      <c r="A70" s="9" t="s">
        <v>292</v>
      </c>
      <c r="B70" s="32" t="s">
        <v>293</v>
      </c>
      <c r="C70" s="26" t="s">
        <v>19</v>
      </c>
      <c r="D70" s="9">
        <v>8112643867</v>
      </c>
      <c r="E70" s="12" t="s">
        <v>294</v>
      </c>
      <c r="F70" s="23" t="s">
        <v>34</v>
      </c>
    </row>
    <row r="71" spans="1:6" ht="15.5" x14ac:dyDescent="0.35">
      <c r="A71" s="9" t="s">
        <v>295</v>
      </c>
      <c r="B71" s="32" t="s">
        <v>296</v>
      </c>
      <c r="C71" s="26" t="s">
        <v>28</v>
      </c>
      <c r="D71" s="9">
        <v>3685782386</v>
      </c>
      <c r="E71" s="12" t="s">
        <v>297</v>
      </c>
      <c r="F71" s="23" t="s">
        <v>21</v>
      </c>
    </row>
    <row r="72" spans="1:6" ht="15.5" x14ac:dyDescent="0.35">
      <c r="A72" s="9" t="s">
        <v>298</v>
      </c>
      <c r="B72" s="32" t="s">
        <v>299</v>
      </c>
      <c r="C72" s="26" t="s">
        <v>28</v>
      </c>
      <c r="D72" s="9">
        <v>6205596324</v>
      </c>
      <c r="E72" s="12" t="s">
        <v>300</v>
      </c>
      <c r="F72" s="23" t="s">
        <v>34</v>
      </c>
    </row>
    <row r="73" spans="1:6" ht="15.5" x14ac:dyDescent="0.35">
      <c r="A73" s="9" t="s">
        <v>302</v>
      </c>
      <c r="B73" s="32" t="s">
        <v>303</v>
      </c>
      <c r="C73" s="26" t="s">
        <v>19</v>
      </c>
      <c r="D73" s="9">
        <v>6578497608</v>
      </c>
      <c r="E73" s="12" t="s">
        <v>304</v>
      </c>
      <c r="F73" s="23" t="s">
        <v>34</v>
      </c>
    </row>
    <row r="74" spans="1:6" ht="15.5" x14ac:dyDescent="0.35">
      <c r="A74" s="9" t="s">
        <v>306</v>
      </c>
      <c r="B74" s="32" t="s">
        <v>307</v>
      </c>
      <c r="C74" s="26" t="s">
        <v>28</v>
      </c>
      <c r="D74" s="9">
        <v>2602080020</v>
      </c>
      <c r="E74" s="12" t="s">
        <v>308</v>
      </c>
      <c r="F74" s="23" t="s">
        <v>34</v>
      </c>
    </row>
    <row r="75" spans="1:6" ht="15.5" x14ac:dyDescent="0.35">
      <c r="A75" s="9" t="s">
        <v>310</v>
      </c>
      <c r="B75" s="32" t="s">
        <v>311</v>
      </c>
      <c r="C75" s="26" t="s">
        <v>19</v>
      </c>
      <c r="D75" s="9">
        <v>8796416295</v>
      </c>
      <c r="E75" s="12" t="s">
        <v>312</v>
      </c>
      <c r="F75" s="23" t="s">
        <v>34</v>
      </c>
    </row>
    <row r="76" spans="1:6" ht="15.5" x14ac:dyDescent="0.35">
      <c r="A76" s="9" t="s">
        <v>314</v>
      </c>
      <c r="B76" s="32" t="s">
        <v>315</v>
      </c>
      <c r="C76" s="26" t="s">
        <v>19</v>
      </c>
      <c r="D76" s="9">
        <v>5978571640</v>
      </c>
      <c r="E76" s="12" t="s">
        <v>316</v>
      </c>
      <c r="F76" s="23" t="s">
        <v>34</v>
      </c>
    </row>
    <row r="77" spans="1:6" ht="15.5" x14ac:dyDescent="0.35">
      <c r="A77" s="9" t="s">
        <v>318</v>
      </c>
      <c r="B77" s="32" t="s">
        <v>319</v>
      </c>
      <c r="C77" s="26" t="s">
        <v>28</v>
      </c>
      <c r="D77" s="9">
        <v>5716170881</v>
      </c>
      <c r="E77" s="12" t="s">
        <v>320</v>
      </c>
      <c r="F77" s="23" t="s">
        <v>34</v>
      </c>
    </row>
    <row r="78" spans="1:6" ht="15.5" x14ac:dyDescent="0.35">
      <c r="A78" s="9" t="s">
        <v>322</v>
      </c>
      <c r="B78" s="32" t="s">
        <v>323</v>
      </c>
      <c r="C78" s="26" t="s">
        <v>28</v>
      </c>
      <c r="D78" s="9">
        <v>6927479136</v>
      </c>
      <c r="E78" s="12" t="s">
        <v>324</v>
      </c>
      <c r="F78" s="23" t="s">
        <v>21</v>
      </c>
    </row>
    <row r="79" spans="1:6" x14ac:dyDescent="0.35">
      <c r="A79" s="9" t="s">
        <v>326</v>
      </c>
      <c r="B79" s="31" t="s">
        <v>327</v>
      </c>
      <c r="C79" s="25" t="s">
        <v>28</v>
      </c>
      <c r="D79" s="9">
        <v>8625176197</v>
      </c>
      <c r="E79" s="12" t="s">
        <v>328</v>
      </c>
      <c r="F79" s="22" t="s">
        <v>34</v>
      </c>
    </row>
    <row r="80" spans="1:6" x14ac:dyDescent="0.35">
      <c r="A80" s="9" t="s">
        <v>329</v>
      </c>
      <c r="B80" s="31" t="s">
        <v>330</v>
      </c>
      <c r="C80" s="25" t="s">
        <v>28</v>
      </c>
      <c r="D80" s="9">
        <v>3221738150</v>
      </c>
      <c r="E80" s="12" t="s">
        <v>331</v>
      </c>
      <c r="F80" s="22" t="s">
        <v>34</v>
      </c>
    </row>
    <row r="81" spans="1:6" x14ac:dyDescent="0.35">
      <c r="A81" s="9" t="s">
        <v>332</v>
      </c>
      <c r="B81" s="31" t="s">
        <v>333</v>
      </c>
      <c r="C81" s="25" t="s">
        <v>28</v>
      </c>
      <c r="D81" s="9">
        <v>2217423855</v>
      </c>
      <c r="E81" s="12" t="s">
        <v>334</v>
      </c>
      <c r="F81" s="22" t="s">
        <v>34</v>
      </c>
    </row>
    <row r="82" spans="1:6" x14ac:dyDescent="0.35">
      <c r="A82" s="1">
        <v>123</v>
      </c>
      <c r="B82" s="33"/>
      <c r="C82" s="1"/>
      <c r="D82" s="1"/>
      <c r="E82" s="3"/>
      <c r="F82" s="2"/>
    </row>
  </sheetData>
  <hyperlinks>
    <hyperlink ref="E4" r:id="rId1" xr:uid="{2D2D90C9-447A-40BE-AAF6-CBCA896ACDDC}"/>
    <hyperlink ref="E2" r:id="rId2" xr:uid="{D885D583-4B4C-4061-A919-192AC4D64D10}"/>
    <hyperlink ref="E3" r:id="rId3" xr:uid="{5FE75BD1-DC76-4136-BC51-04C639089FC7}"/>
    <hyperlink ref="E5" r:id="rId4" xr:uid="{5F072FD4-7D5D-48AB-8633-176917ECCA48}"/>
    <hyperlink ref="E6" r:id="rId5" xr:uid="{9BFECB25-7847-474C-B15E-5DDFF24D6F4F}"/>
    <hyperlink ref="E7" r:id="rId6" xr:uid="{9C66196D-B281-4F53-9762-77C79AA5522D}"/>
    <hyperlink ref="E8" r:id="rId7" xr:uid="{FD8DBE44-07C7-4A44-953B-CCB253947DA8}"/>
    <hyperlink ref="E9" r:id="rId8" xr:uid="{3BD2F029-8244-4EF9-98E5-D77F2163D385}"/>
    <hyperlink ref="E10" r:id="rId9" xr:uid="{0DE22024-CA12-44FE-8A7B-30F595F987F0}"/>
    <hyperlink ref="E11" r:id="rId10" xr:uid="{26B34A7C-FF49-4B87-BC4E-EEEBB7BEA0B7}"/>
    <hyperlink ref="E12" r:id="rId11" xr:uid="{4CBC153A-AE54-41B7-9510-BE897FE4522A}"/>
    <hyperlink ref="E13" r:id="rId12" xr:uid="{B4F16C07-5168-4DD4-9322-3A10343F8E10}"/>
    <hyperlink ref="E14" r:id="rId13" xr:uid="{951FE8EB-4C35-4776-827A-B787C2F95E89}"/>
    <hyperlink ref="E15" r:id="rId14" xr:uid="{761BC867-036E-4F61-BC21-7D716A7F61AA}"/>
    <hyperlink ref="E16" r:id="rId15" xr:uid="{9317EA2E-4609-40EA-B0F7-BDB0F2DC9FBA}"/>
    <hyperlink ref="E17" r:id="rId16" xr:uid="{906C8A34-58AE-44C3-88D5-6326FEB3BFDF}"/>
    <hyperlink ref="E18" r:id="rId17" xr:uid="{960F0C34-56FF-476A-B7CA-FAFE4299F634}"/>
    <hyperlink ref="E19" r:id="rId18" xr:uid="{2BDD6D2A-B355-4E18-8337-DFB1B9B2F136}"/>
    <hyperlink ref="E20" r:id="rId19" xr:uid="{DCDF20A4-FC0A-44D3-928D-9CC58BB2E698}"/>
    <hyperlink ref="E21" r:id="rId20" xr:uid="{8702660D-DAA6-4C2E-87A8-2B6C776A1A34}"/>
    <hyperlink ref="E22" r:id="rId21" xr:uid="{8D93776F-6B53-4885-B063-EEA420E3F2F6}"/>
    <hyperlink ref="E23" r:id="rId22" xr:uid="{A354F25E-DF97-4410-B592-B1CCF9A5FD4B}"/>
    <hyperlink ref="E24" r:id="rId23" xr:uid="{19A687BE-0232-42A7-830E-F42C3421E5D1}"/>
    <hyperlink ref="E25" r:id="rId24" xr:uid="{72399CB9-FD2C-4A49-8E04-9FF39A1CF688}"/>
    <hyperlink ref="E26" r:id="rId25" xr:uid="{2EF74AFA-4D32-49A1-946D-FDEE8E02E83A}"/>
    <hyperlink ref="E27" r:id="rId26" xr:uid="{0EA769CA-E143-44EA-BEDE-1A2A8453A12D}"/>
    <hyperlink ref="E28" r:id="rId27" xr:uid="{607B89F6-C688-4B8A-A720-D8CAC794845F}"/>
    <hyperlink ref="E29" r:id="rId28" xr:uid="{2C37D4F7-CBED-40C3-A182-9E2037B6B1F7}"/>
    <hyperlink ref="E30" r:id="rId29" xr:uid="{A9D2C55D-44F6-4FB8-BCA5-178DB1281309}"/>
    <hyperlink ref="E31" r:id="rId30" xr:uid="{47B9EFDF-B0BF-43FF-ACEC-8232F0617A83}"/>
    <hyperlink ref="E32" r:id="rId31" xr:uid="{D947D957-38E4-47CC-8484-95E4E71EA28A}"/>
    <hyperlink ref="E33" r:id="rId32" xr:uid="{654EC4CA-91DB-4A9C-B8D2-C9065A8E64EB}"/>
    <hyperlink ref="E34" r:id="rId33" xr:uid="{0FC352F5-1ED5-4FF9-B279-2C7145D61A57}"/>
    <hyperlink ref="E35" r:id="rId34" xr:uid="{57D4A8E4-1C85-4C10-9CA6-418822F2CCAD}"/>
    <hyperlink ref="E36" r:id="rId35" xr:uid="{4AE819B0-9AFA-4096-9637-383B29FC8201}"/>
    <hyperlink ref="E37" r:id="rId36" xr:uid="{247E347C-7808-48E2-9515-14B9AEE6FEB9}"/>
    <hyperlink ref="E38" r:id="rId37" xr:uid="{D92FAE77-3EE3-4C5C-8ABE-DC927D9491F7}"/>
    <hyperlink ref="E39" r:id="rId38" xr:uid="{02C847D1-1F37-47AF-821E-3ECD3D82BF61}"/>
    <hyperlink ref="E40" r:id="rId39" xr:uid="{5DAC92AC-2032-4764-9863-D79068DAD8F2}"/>
    <hyperlink ref="E41" r:id="rId40" xr:uid="{00EC8097-0D30-4495-9086-F434D7D98E13}"/>
    <hyperlink ref="E42" r:id="rId41" xr:uid="{EE2F6453-F6FA-4A9F-A751-1A4FF686C265}"/>
    <hyperlink ref="E43" r:id="rId42" xr:uid="{5426DF2A-70D7-402F-9E38-284D6F68D303}"/>
    <hyperlink ref="E44" r:id="rId43" xr:uid="{FCC98C84-8ED0-494D-B8E7-1278319C5975}"/>
    <hyperlink ref="E45" r:id="rId44" xr:uid="{4453335E-1CE6-4F5D-8D9F-9ABA717EEAD9}"/>
    <hyperlink ref="E46" r:id="rId45" xr:uid="{43A6C581-AE18-4583-8E71-871B7DFB78CC}"/>
    <hyperlink ref="E47" r:id="rId46" xr:uid="{437EBE9B-7705-4F2B-9C67-61478860638E}"/>
    <hyperlink ref="E48" r:id="rId47" xr:uid="{E4AAE3B1-9999-487E-8F45-B912EBD52458}"/>
    <hyperlink ref="E49" r:id="rId48" xr:uid="{1951C43A-6ECA-462B-ACAD-FF1114DDCA39}"/>
    <hyperlink ref="E50" r:id="rId49" xr:uid="{0D55566D-0B9F-4E3A-849A-64A4C195491A}"/>
    <hyperlink ref="E51" r:id="rId50" xr:uid="{8A2D5524-D37D-42FB-9AFB-425D2A9CBCBF}"/>
    <hyperlink ref="E52" r:id="rId51" xr:uid="{83AD8061-3D37-4E2F-A773-0DAE927F120F}"/>
    <hyperlink ref="E53" r:id="rId52" xr:uid="{6C06070D-1F17-4714-B39F-EC3BABE2D149}"/>
    <hyperlink ref="E54" r:id="rId53" xr:uid="{DC92B9F7-B69A-489B-94C1-D1051E924F17}"/>
    <hyperlink ref="E55" r:id="rId54" xr:uid="{B7133FB0-91A5-468A-8C37-DE6C817BEE9A}"/>
    <hyperlink ref="E56" r:id="rId55" xr:uid="{33288286-D262-44A0-BFFD-EC782483B7CA}"/>
    <hyperlink ref="E57" r:id="rId56" xr:uid="{460E8D3D-AB8C-402B-B861-B3CF80700D8E}"/>
    <hyperlink ref="E58" r:id="rId57" xr:uid="{A44B1300-6B57-4023-A068-1BFCD139E451}"/>
    <hyperlink ref="E59" r:id="rId58" xr:uid="{40933813-431F-4DB4-8D35-767448AD8892}"/>
    <hyperlink ref="E60" r:id="rId59" xr:uid="{67BD5CA2-519A-469B-86FE-40C740BE9C8D}"/>
    <hyperlink ref="E61" r:id="rId60" xr:uid="{35FAAB0E-1C66-437C-BBAE-B60272D3397F}"/>
    <hyperlink ref="E62" r:id="rId61" xr:uid="{0073D9FC-04D6-4C59-9D9A-30E0BB63EC49}"/>
    <hyperlink ref="E63" r:id="rId62" xr:uid="{FAB5345A-6317-4DF6-8620-346B73D2E124}"/>
    <hyperlink ref="E64" r:id="rId63" xr:uid="{65A040DE-4EEA-4C85-BA8B-2CF44105190B}"/>
    <hyperlink ref="E65" r:id="rId64" xr:uid="{AFAFAEF4-EC0E-49DB-89EF-BC037DCF7072}"/>
    <hyperlink ref="E66" r:id="rId65" xr:uid="{6CA249F0-C0E1-4AD9-AB1D-F1C3B536DFAA}"/>
    <hyperlink ref="E67" r:id="rId66" xr:uid="{BECBF06E-985B-4975-8E9B-4449DAB1B6A7}"/>
    <hyperlink ref="E68" r:id="rId67" xr:uid="{455437E7-94C1-4E42-B7ED-B839F28AAB60}"/>
    <hyperlink ref="E69" r:id="rId68" xr:uid="{49167725-474D-4841-9A62-B178CE01D709}"/>
    <hyperlink ref="E70" r:id="rId69" xr:uid="{E4AF5875-339D-45B5-9EF3-1964FDBA4C22}"/>
    <hyperlink ref="E71" r:id="rId70" xr:uid="{8D0C7805-18AF-42DF-804A-FE0F8B37A63B}"/>
    <hyperlink ref="E72" r:id="rId71" xr:uid="{DBC0E81A-5F35-4B4B-9A56-C483AA9F8687}"/>
    <hyperlink ref="E73" r:id="rId72" xr:uid="{BF76B29C-8350-47A4-B3EA-677FD6C190A5}"/>
    <hyperlink ref="E74" r:id="rId73" xr:uid="{C0BEC8D1-FEE3-405D-9B68-AC3723B7E916}"/>
    <hyperlink ref="E75" r:id="rId74" xr:uid="{B815B236-4503-42AA-9988-8FBC9784D598}"/>
    <hyperlink ref="E76" r:id="rId75" xr:uid="{9B4405E9-8A67-4004-AEFB-2700E4E2A9BE}"/>
    <hyperlink ref="E77" r:id="rId76" xr:uid="{87130C86-0EE3-4D01-AE66-4F28FB2D8815}"/>
    <hyperlink ref="E78" r:id="rId77" xr:uid="{1FC12EEA-CE88-4F0B-9C83-0BB553D092DB}"/>
    <hyperlink ref="E79" r:id="rId78" xr:uid="{607DAC6D-D7CA-4D42-85B7-452DBA07D606}"/>
    <hyperlink ref="E80" r:id="rId79" xr:uid="{69390FE1-D3AE-4D49-A8BA-D7DD89FCAF32}"/>
    <hyperlink ref="E81" r:id="rId80" xr:uid="{D3ACB8CA-8285-4ECE-B95F-C586B8712AF9}"/>
    <hyperlink ref="P8" r:id="rId81" xr:uid="{4A20F838-4CE2-4141-99F4-A9E5A399F0A8}"/>
    <hyperlink ref="N8" r:id="rId82" xr:uid="{7FE46D76-DA7B-4701-B795-545AB973A49D}"/>
    <hyperlink ref="O8" r:id="rId83" xr:uid="{F8BBC553-C769-44D0-8DDD-3785F0507D8E}"/>
    <hyperlink ref="Q8" r:id="rId84" xr:uid="{3713F770-2930-4706-AE50-FAB9D9B92535}"/>
  </hyperlinks>
  <pageMargins left="0.7" right="0.7" top="0.75" bottom="0.75" header="0.3" footer="0.3"/>
  <pageSetup orientation="portrait" r:id="rId8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D4219-78EA-4C84-9333-5ACA1B125068}">
  <dimension ref="A1:H14"/>
  <sheetViews>
    <sheetView workbookViewId="0">
      <selection activeCell="G4" sqref="G4"/>
    </sheetView>
  </sheetViews>
  <sheetFormatPr defaultRowHeight="14.5" x14ac:dyDescent="0.35"/>
  <cols>
    <col min="2" max="2" width="18.90625" bestFit="1" customWidth="1"/>
    <col min="3" max="3" width="25.81640625" bestFit="1" customWidth="1"/>
    <col min="4" max="4" width="13.453125" bestFit="1" customWidth="1"/>
    <col min="7" max="7" width="18.90625" bestFit="1" customWidth="1"/>
    <col min="8" max="8" width="44.6328125" bestFit="1" customWidth="1"/>
  </cols>
  <sheetData>
    <row r="1" spans="1:8" ht="15.5" x14ac:dyDescent="0.35">
      <c r="A1" s="24" t="s">
        <v>343</v>
      </c>
      <c r="B1" s="24" t="s">
        <v>7</v>
      </c>
      <c r="C1" s="30" t="s">
        <v>8</v>
      </c>
      <c r="D1" s="24" t="s">
        <v>9</v>
      </c>
    </row>
    <row r="2" spans="1:8" x14ac:dyDescent="0.35">
      <c r="A2" s="10">
        <v>1</v>
      </c>
      <c r="B2" s="9" t="s">
        <v>17</v>
      </c>
      <c r="C2" s="31" t="s">
        <v>18</v>
      </c>
      <c r="D2" s="25" t="s">
        <v>19</v>
      </c>
    </row>
    <row r="3" spans="1:8" ht="15.5" x14ac:dyDescent="0.35">
      <c r="A3" s="10">
        <v>2</v>
      </c>
      <c r="B3" s="9" t="s">
        <v>26</v>
      </c>
      <c r="C3" s="31" t="s">
        <v>27</v>
      </c>
      <c r="D3" s="25" t="s">
        <v>28</v>
      </c>
      <c r="G3" s="24" t="s">
        <v>7</v>
      </c>
      <c r="H3" s="24" t="s">
        <v>342</v>
      </c>
    </row>
    <row r="4" spans="1:8" x14ac:dyDescent="0.35">
      <c r="A4" s="10">
        <v>3</v>
      </c>
      <c r="B4" s="9" t="s">
        <v>31</v>
      </c>
      <c r="C4" s="31" t="s">
        <v>32</v>
      </c>
      <c r="D4" s="25" t="s">
        <v>28</v>
      </c>
      <c r="G4" s="9" t="s">
        <v>40</v>
      </c>
      <c r="H4" s="10">
        <f>MATCH(G4,$B$2:$B$14,0)</f>
        <v>5</v>
      </c>
    </row>
    <row r="5" spans="1:8" x14ac:dyDescent="0.35">
      <c r="A5" s="10">
        <v>4</v>
      </c>
      <c r="B5" s="9" t="s">
        <v>36</v>
      </c>
      <c r="C5" s="31" t="s">
        <v>37</v>
      </c>
      <c r="D5" s="25" t="s">
        <v>28</v>
      </c>
    </row>
    <row r="6" spans="1:8" x14ac:dyDescent="0.35">
      <c r="A6" s="10">
        <v>5</v>
      </c>
      <c r="B6" s="9" t="s">
        <v>40</v>
      </c>
      <c r="C6" s="31" t="s">
        <v>41</v>
      </c>
      <c r="D6" s="25" t="s">
        <v>28</v>
      </c>
    </row>
    <row r="7" spans="1:8" x14ac:dyDescent="0.35">
      <c r="A7" s="10">
        <v>6</v>
      </c>
      <c r="B7" s="9" t="s">
        <v>44</v>
      </c>
      <c r="C7" s="31" t="s">
        <v>45</v>
      </c>
      <c r="D7" s="25" t="s">
        <v>19</v>
      </c>
    </row>
    <row r="8" spans="1:8" x14ac:dyDescent="0.35">
      <c r="A8" s="10">
        <v>7</v>
      </c>
      <c r="B8" s="9" t="s">
        <v>48</v>
      </c>
      <c r="C8" s="31" t="s">
        <v>49</v>
      </c>
      <c r="D8" s="25" t="s">
        <v>28</v>
      </c>
    </row>
    <row r="9" spans="1:8" x14ac:dyDescent="0.35">
      <c r="A9" s="10">
        <v>8</v>
      </c>
      <c r="B9" s="9" t="s">
        <v>52</v>
      </c>
      <c r="C9" s="31" t="s">
        <v>53</v>
      </c>
      <c r="D9" s="25" t="s">
        <v>28</v>
      </c>
    </row>
    <row r="10" spans="1:8" x14ac:dyDescent="0.35">
      <c r="A10" s="10">
        <v>9</v>
      </c>
      <c r="B10" s="9" t="s">
        <v>56</v>
      </c>
      <c r="C10" s="31" t="s">
        <v>57</v>
      </c>
      <c r="D10" s="25" t="s">
        <v>19</v>
      </c>
    </row>
    <row r="11" spans="1:8" x14ac:dyDescent="0.35">
      <c r="A11" s="10">
        <v>10</v>
      </c>
      <c r="B11" s="9" t="s">
        <v>60</v>
      </c>
      <c r="C11" s="31" t="s">
        <v>61</v>
      </c>
      <c r="D11" s="25" t="s">
        <v>28</v>
      </c>
    </row>
    <row r="12" spans="1:8" x14ac:dyDescent="0.35">
      <c r="A12" s="10">
        <v>11</v>
      </c>
      <c r="B12" s="9" t="s">
        <v>64</v>
      </c>
      <c r="C12" s="31" t="s">
        <v>65</v>
      </c>
      <c r="D12" s="25" t="s">
        <v>28</v>
      </c>
    </row>
    <row r="13" spans="1:8" x14ac:dyDescent="0.35">
      <c r="A13" s="10">
        <v>12</v>
      </c>
      <c r="B13" s="9" t="s">
        <v>68</v>
      </c>
      <c r="C13" s="31" t="s">
        <v>69</v>
      </c>
      <c r="D13" s="25" t="s">
        <v>28</v>
      </c>
    </row>
    <row r="14" spans="1:8" x14ac:dyDescent="0.35">
      <c r="A14" s="10">
        <v>13</v>
      </c>
      <c r="B14" s="9" t="s">
        <v>72</v>
      </c>
      <c r="C14" s="31" t="s">
        <v>73</v>
      </c>
      <c r="D14" s="25" t="s">
        <v>28</v>
      </c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6CBBAAE-54E9-43B0-8E87-A3E708E61D28}">
          <x14:formula1>
            <xm:f>Data!$C$3:$C$83</xm:f>
          </x14:formula1>
          <xm:sqref>G4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7282F-548A-4921-B161-DBED03A8CC63}">
  <dimension ref="A1:G82"/>
  <sheetViews>
    <sheetView workbookViewId="0">
      <selection activeCell="B1" sqref="B1:B1048576"/>
    </sheetView>
  </sheetViews>
  <sheetFormatPr defaultRowHeight="14.5" x14ac:dyDescent="0.35"/>
  <cols>
    <col min="1" max="1" width="18.90625" style="19" bestFit="1" customWidth="1"/>
    <col min="2" max="2" width="30.26953125" style="19" bestFit="1" customWidth="1"/>
    <col min="3" max="3" width="13.453125" style="19" bestFit="1" customWidth="1"/>
    <col min="4" max="4" width="10.81640625" style="19" bestFit="1" customWidth="1"/>
    <col min="5" max="5" width="42.453125" style="19" bestFit="1" customWidth="1"/>
    <col min="6" max="6" width="7.54296875" style="19" bestFit="1" customWidth="1"/>
    <col min="7" max="7" width="30.26953125" style="19" bestFit="1" customWidth="1"/>
    <col min="8" max="16384" width="8.7265625" style="19"/>
  </cols>
  <sheetData>
    <row r="1" spans="1:7" ht="15.5" x14ac:dyDescent="0.35">
      <c r="A1" s="7" t="s">
        <v>7</v>
      </c>
      <c r="B1" s="7" t="s">
        <v>8</v>
      </c>
      <c r="C1" s="7" t="s">
        <v>9</v>
      </c>
      <c r="D1" s="6" t="s">
        <v>10</v>
      </c>
      <c r="E1" s="7" t="s">
        <v>11</v>
      </c>
      <c r="F1" s="7" t="s">
        <v>12</v>
      </c>
      <c r="G1" s="7" t="s">
        <v>13</v>
      </c>
    </row>
    <row r="2" spans="1:7" x14ac:dyDescent="0.35">
      <c r="A2" s="10" t="s">
        <v>17</v>
      </c>
      <c r="B2" s="11" t="s">
        <v>18</v>
      </c>
      <c r="C2" s="11" t="s">
        <v>19</v>
      </c>
      <c r="D2" s="10">
        <v>6399221384</v>
      </c>
      <c r="E2" s="12" t="s">
        <v>20</v>
      </c>
      <c r="F2" s="11" t="s">
        <v>21</v>
      </c>
      <c r="G2" s="13" t="str">
        <f>B2</f>
        <v>NIKITHA ADULA</v>
      </c>
    </row>
    <row r="3" spans="1:7" x14ac:dyDescent="0.35">
      <c r="A3" s="10" t="s">
        <v>26</v>
      </c>
      <c r="B3" s="11" t="s">
        <v>27</v>
      </c>
      <c r="C3" s="11" t="s">
        <v>28</v>
      </c>
      <c r="D3" s="10">
        <v>8732960724</v>
      </c>
      <c r="E3" s="12" t="s">
        <v>29</v>
      </c>
      <c r="F3" s="11" t="s">
        <v>21</v>
      </c>
      <c r="G3" s="13" t="str">
        <f t="shared" ref="G3:G66" si="0">B3</f>
        <v>ADULA LIKHITHA</v>
      </c>
    </row>
    <row r="4" spans="1:7" x14ac:dyDescent="0.35">
      <c r="A4" s="10" t="s">
        <v>31</v>
      </c>
      <c r="B4" s="11" t="s">
        <v>32</v>
      </c>
      <c r="C4" s="11" t="s">
        <v>28</v>
      </c>
      <c r="D4" s="10">
        <v>3928683138</v>
      </c>
      <c r="E4" s="12" t="s">
        <v>33</v>
      </c>
      <c r="F4" s="11" t="s">
        <v>34</v>
      </c>
      <c r="G4" s="13" t="str">
        <f t="shared" si="0"/>
        <v>AKASH RAJPOOT</v>
      </c>
    </row>
    <row r="5" spans="1:7" x14ac:dyDescent="0.35">
      <c r="A5" s="10" t="s">
        <v>36</v>
      </c>
      <c r="B5" s="11" t="s">
        <v>37</v>
      </c>
      <c r="C5" s="11" t="s">
        <v>28</v>
      </c>
      <c r="D5" s="10">
        <v>6302977515</v>
      </c>
      <c r="E5" s="12" t="s">
        <v>38</v>
      </c>
      <c r="F5" s="11" t="s">
        <v>34</v>
      </c>
      <c r="G5" s="13" t="str">
        <f t="shared" si="0"/>
        <v>ALOK KUMAR</v>
      </c>
    </row>
    <row r="6" spans="1:7" x14ac:dyDescent="0.35">
      <c r="A6" s="10" t="s">
        <v>40</v>
      </c>
      <c r="B6" s="11" t="s">
        <v>41</v>
      </c>
      <c r="C6" s="11" t="s">
        <v>28</v>
      </c>
      <c r="D6" s="10">
        <v>3285643454</v>
      </c>
      <c r="E6" s="12" t="s">
        <v>42</v>
      </c>
      <c r="F6" s="11" t="s">
        <v>34</v>
      </c>
      <c r="G6" s="13" t="str">
        <f t="shared" si="0"/>
        <v>AYUSHMAN SINGH BAGHEL</v>
      </c>
    </row>
    <row r="7" spans="1:7" x14ac:dyDescent="0.35">
      <c r="A7" s="10" t="s">
        <v>44</v>
      </c>
      <c r="B7" s="11" t="s">
        <v>45</v>
      </c>
      <c r="C7" s="11" t="s">
        <v>19</v>
      </c>
      <c r="D7" s="10">
        <v>6204804746</v>
      </c>
      <c r="E7" s="12" t="s">
        <v>46</v>
      </c>
      <c r="F7" s="11" t="s">
        <v>34</v>
      </c>
      <c r="G7" s="13" t="str">
        <f t="shared" si="0"/>
        <v>B SANDEEP ROY</v>
      </c>
    </row>
    <row r="8" spans="1:7" x14ac:dyDescent="0.35">
      <c r="A8" s="10" t="s">
        <v>48</v>
      </c>
      <c r="B8" s="11" t="s">
        <v>49</v>
      </c>
      <c r="C8" s="11" t="s">
        <v>28</v>
      </c>
      <c r="D8" s="10">
        <v>8402592334</v>
      </c>
      <c r="E8" s="12" t="s">
        <v>50</v>
      </c>
      <c r="F8" s="11" t="s">
        <v>34</v>
      </c>
      <c r="G8" s="13" t="str">
        <f t="shared" si="0"/>
        <v>B. SRINIVASULU</v>
      </c>
    </row>
    <row r="9" spans="1:7" x14ac:dyDescent="0.35">
      <c r="A9" s="10" t="s">
        <v>52</v>
      </c>
      <c r="B9" s="11" t="s">
        <v>53</v>
      </c>
      <c r="C9" s="11" t="s">
        <v>28</v>
      </c>
      <c r="D9" s="10">
        <v>1770577932</v>
      </c>
      <c r="E9" s="12" t="s">
        <v>54</v>
      </c>
      <c r="F9" s="11" t="s">
        <v>34</v>
      </c>
      <c r="G9" s="13" t="str">
        <f t="shared" si="0"/>
        <v>BAIRI PRATHYUSH</v>
      </c>
    </row>
    <row r="10" spans="1:7" x14ac:dyDescent="0.35">
      <c r="A10" s="10" t="s">
        <v>56</v>
      </c>
      <c r="B10" s="11" t="s">
        <v>57</v>
      </c>
      <c r="C10" s="11" t="s">
        <v>19</v>
      </c>
      <c r="D10" s="10">
        <v>1087593685</v>
      </c>
      <c r="E10" s="12" t="s">
        <v>58</v>
      </c>
      <c r="F10" s="11" t="s">
        <v>21</v>
      </c>
      <c r="G10" s="13" t="str">
        <f t="shared" si="0"/>
        <v>BANDAPALLI GANGABHAVANI</v>
      </c>
    </row>
    <row r="11" spans="1:7" x14ac:dyDescent="0.35">
      <c r="A11" s="10" t="s">
        <v>60</v>
      </c>
      <c r="B11" s="11" t="s">
        <v>61</v>
      </c>
      <c r="C11" s="11" t="s">
        <v>28</v>
      </c>
      <c r="D11" s="10">
        <v>1693682470</v>
      </c>
      <c r="E11" s="12" t="s">
        <v>62</v>
      </c>
      <c r="F11" s="11" t="s">
        <v>21</v>
      </c>
      <c r="G11" s="13" t="str">
        <f t="shared" si="0"/>
        <v>BURRI VINITHA</v>
      </c>
    </row>
    <row r="12" spans="1:7" x14ac:dyDescent="0.35">
      <c r="A12" s="10" t="s">
        <v>64</v>
      </c>
      <c r="B12" s="11" t="s">
        <v>65</v>
      </c>
      <c r="C12" s="11" t="s">
        <v>28</v>
      </c>
      <c r="D12" s="10">
        <v>1821308586</v>
      </c>
      <c r="E12" s="12" t="s">
        <v>66</v>
      </c>
      <c r="F12" s="11" t="s">
        <v>34</v>
      </c>
      <c r="G12" s="13" t="str">
        <f t="shared" si="0"/>
        <v>CHANDRA SAMPATH KUMAR</v>
      </c>
    </row>
    <row r="13" spans="1:7" x14ac:dyDescent="0.35">
      <c r="A13" s="10" t="s">
        <v>68</v>
      </c>
      <c r="B13" s="11" t="s">
        <v>69</v>
      </c>
      <c r="C13" s="11" t="s">
        <v>28</v>
      </c>
      <c r="D13" s="10">
        <v>1683546545</v>
      </c>
      <c r="E13" s="12" t="s">
        <v>70</v>
      </c>
      <c r="F13" s="11" t="s">
        <v>34</v>
      </c>
      <c r="G13" s="13" t="str">
        <f t="shared" si="0"/>
        <v>CHINNAKOTLA SURYA TEJA</v>
      </c>
    </row>
    <row r="14" spans="1:7" x14ac:dyDescent="0.35">
      <c r="A14" s="10" t="s">
        <v>72</v>
      </c>
      <c r="B14" s="11" t="s">
        <v>73</v>
      </c>
      <c r="C14" s="11" t="s">
        <v>28</v>
      </c>
      <c r="D14" s="10">
        <v>5506439807</v>
      </c>
      <c r="E14" s="12" t="s">
        <v>74</v>
      </c>
      <c r="F14" s="11" t="s">
        <v>21</v>
      </c>
      <c r="G14" s="13" t="str">
        <f t="shared" si="0"/>
        <v>DASARI VIMALA</v>
      </c>
    </row>
    <row r="15" spans="1:7" x14ac:dyDescent="0.35">
      <c r="A15" s="10" t="s">
        <v>76</v>
      </c>
      <c r="B15" s="11" t="s">
        <v>77</v>
      </c>
      <c r="C15" s="11" t="s">
        <v>19</v>
      </c>
      <c r="D15" s="10">
        <v>3565997600</v>
      </c>
      <c r="E15" s="12" t="s">
        <v>78</v>
      </c>
      <c r="F15" s="11" t="s">
        <v>34</v>
      </c>
      <c r="G15" s="13" t="str">
        <f t="shared" si="0"/>
        <v>DEVALLA DEEPAK</v>
      </c>
    </row>
    <row r="16" spans="1:7" x14ac:dyDescent="0.35">
      <c r="A16" s="10" t="s">
        <v>80</v>
      </c>
      <c r="B16" s="11" t="s">
        <v>81</v>
      </c>
      <c r="C16" s="11" t="s">
        <v>28</v>
      </c>
      <c r="D16" s="10">
        <v>2685014153</v>
      </c>
      <c r="E16" s="12" t="s">
        <v>82</v>
      </c>
      <c r="F16" s="11" t="s">
        <v>21</v>
      </c>
      <c r="G16" s="13" t="str">
        <f t="shared" si="0"/>
        <v>DEVKATHE KOMAL</v>
      </c>
    </row>
    <row r="17" spans="1:7" x14ac:dyDescent="0.35">
      <c r="A17" s="10" t="s">
        <v>84</v>
      </c>
      <c r="B17" s="11" t="s">
        <v>85</v>
      </c>
      <c r="C17" s="11" t="s">
        <v>28</v>
      </c>
      <c r="D17" s="10">
        <v>8144007188</v>
      </c>
      <c r="E17" s="12" t="s">
        <v>86</v>
      </c>
      <c r="F17" s="11" t="s">
        <v>34</v>
      </c>
      <c r="G17" s="13" t="str">
        <f t="shared" si="0"/>
        <v>EERAMMAGARI RAVITEJA</v>
      </c>
    </row>
    <row r="18" spans="1:7" x14ac:dyDescent="0.35">
      <c r="A18" s="10" t="s">
        <v>88</v>
      </c>
      <c r="B18" s="11" t="s">
        <v>89</v>
      </c>
      <c r="C18" s="11" t="s">
        <v>19</v>
      </c>
      <c r="D18" s="10">
        <v>5451418853</v>
      </c>
      <c r="E18" s="12" t="s">
        <v>90</v>
      </c>
      <c r="F18" s="11" t="s">
        <v>21</v>
      </c>
      <c r="G18" s="13" t="str">
        <f t="shared" si="0"/>
        <v>ELLENDULA SUPRIYA</v>
      </c>
    </row>
    <row r="19" spans="1:7" x14ac:dyDescent="0.35">
      <c r="A19" s="10" t="s">
        <v>92</v>
      </c>
      <c r="B19" s="11" t="s">
        <v>93</v>
      </c>
      <c r="C19" s="11" t="s">
        <v>28</v>
      </c>
      <c r="D19" s="10">
        <v>2352093828</v>
      </c>
      <c r="E19" s="12" t="s">
        <v>94</v>
      </c>
      <c r="F19" s="11" t="s">
        <v>21</v>
      </c>
      <c r="G19" s="13" t="str">
        <f t="shared" si="0"/>
        <v>GADIYARAM VARSHA</v>
      </c>
    </row>
    <row r="20" spans="1:7" x14ac:dyDescent="0.35">
      <c r="A20" s="10" t="s">
        <v>96</v>
      </c>
      <c r="B20" s="11" t="s">
        <v>97</v>
      </c>
      <c r="C20" s="11" t="s">
        <v>28</v>
      </c>
      <c r="D20" s="10">
        <v>4851546652</v>
      </c>
      <c r="E20" s="12" t="s">
        <v>98</v>
      </c>
      <c r="F20" s="11" t="s">
        <v>21</v>
      </c>
      <c r="G20" s="13" t="str">
        <f t="shared" si="0"/>
        <v>GAIKWAD SRUSHTI</v>
      </c>
    </row>
    <row r="21" spans="1:7" x14ac:dyDescent="0.35">
      <c r="A21" s="10" t="s">
        <v>100</v>
      </c>
      <c r="B21" s="11" t="s">
        <v>101</v>
      </c>
      <c r="C21" s="11" t="s">
        <v>19</v>
      </c>
      <c r="D21" s="10">
        <v>6604423032</v>
      </c>
      <c r="E21" s="12" t="s">
        <v>102</v>
      </c>
      <c r="F21" s="11" t="s">
        <v>34</v>
      </c>
      <c r="G21" s="13" t="str">
        <f t="shared" si="0"/>
        <v>GAJJELA GIRI</v>
      </c>
    </row>
    <row r="22" spans="1:7" x14ac:dyDescent="0.35">
      <c r="A22" s="10" t="s">
        <v>104</v>
      </c>
      <c r="B22" s="11" t="s">
        <v>105</v>
      </c>
      <c r="C22" s="11" t="s">
        <v>19</v>
      </c>
      <c r="D22" s="10">
        <v>4267924443</v>
      </c>
      <c r="E22" s="12" t="s">
        <v>106</v>
      </c>
      <c r="F22" s="11" t="s">
        <v>21</v>
      </c>
      <c r="G22" s="13" t="str">
        <f t="shared" si="0"/>
        <v>GARAPATI GAYATHRI</v>
      </c>
    </row>
    <row r="23" spans="1:7" x14ac:dyDescent="0.35">
      <c r="A23" s="10" t="s">
        <v>108</v>
      </c>
      <c r="B23" s="11" t="s">
        <v>109</v>
      </c>
      <c r="C23" s="11" t="s">
        <v>28</v>
      </c>
      <c r="D23" s="10">
        <v>2776428499</v>
      </c>
      <c r="E23" s="12" t="s">
        <v>110</v>
      </c>
      <c r="F23" s="11" t="s">
        <v>34</v>
      </c>
      <c r="G23" s="13" t="str">
        <f t="shared" si="0"/>
        <v>GOLI SAI LOKESH</v>
      </c>
    </row>
    <row r="24" spans="1:7" x14ac:dyDescent="0.35">
      <c r="A24" s="10" t="s">
        <v>112</v>
      </c>
      <c r="B24" s="11" t="s">
        <v>113</v>
      </c>
      <c r="C24" s="11" t="s">
        <v>28</v>
      </c>
      <c r="D24" s="10">
        <v>2344591250</v>
      </c>
      <c r="E24" s="12" t="s">
        <v>114</v>
      </c>
      <c r="F24" s="11" t="s">
        <v>21</v>
      </c>
      <c r="G24" s="13" t="str">
        <f t="shared" si="0"/>
        <v>GURRAM YAMINI</v>
      </c>
    </row>
    <row r="25" spans="1:7" x14ac:dyDescent="0.35">
      <c r="A25" s="10" t="s">
        <v>116</v>
      </c>
      <c r="B25" s="11" t="s">
        <v>117</v>
      </c>
      <c r="C25" s="11" t="s">
        <v>28</v>
      </c>
      <c r="D25" s="10">
        <v>4564000793</v>
      </c>
      <c r="E25" s="12" t="s">
        <v>118</v>
      </c>
      <c r="F25" s="11" t="s">
        <v>34</v>
      </c>
      <c r="G25" s="13" t="str">
        <f t="shared" si="0"/>
        <v>HARI OM RAI</v>
      </c>
    </row>
    <row r="26" spans="1:7" x14ac:dyDescent="0.35">
      <c r="A26" s="10" t="s">
        <v>120</v>
      </c>
      <c r="B26" s="11" t="s">
        <v>121</v>
      </c>
      <c r="C26" s="11" t="s">
        <v>28</v>
      </c>
      <c r="D26" s="10">
        <v>7831800139</v>
      </c>
      <c r="E26" s="12" t="s">
        <v>122</v>
      </c>
      <c r="F26" s="11" t="s">
        <v>34</v>
      </c>
      <c r="G26" s="13" t="str">
        <f t="shared" si="0"/>
        <v>JADHAV YOGESH DHARAMSIGH</v>
      </c>
    </row>
    <row r="27" spans="1:7" x14ac:dyDescent="0.35">
      <c r="A27" s="10" t="s">
        <v>124</v>
      </c>
      <c r="B27" s="11" t="s">
        <v>125</v>
      </c>
      <c r="C27" s="11" t="s">
        <v>28</v>
      </c>
      <c r="D27" s="10">
        <v>1359937879</v>
      </c>
      <c r="E27" s="12" t="s">
        <v>126</v>
      </c>
      <c r="F27" s="11" t="s">
        <v>21</v>
      </c>
      <c r="G27" s="13" t="str">
        <f t="shared" si="0"/>
        <v>K. SANTOSHI</v>
      </c>
    </row>
    <row r="28" spans="1:7" x14ac:dyDescent="0.35">
      <c r="A28" s="10" t="s">
        <v>128</v>
      </c>
      <c r="B28" s="11" t="s">
        <v>129</v>
      </c>
      <c r="C28" s="11" t="s">
        <v>19</v>
      </c>
      <c r="D28" s="10">
        <v>8357059907</v>
      </c>
      <c r="E28" s="12" t="s">
        <v>130</v>
      </c>
      <c r="F28" s="11" t="s">
        <v>21</v>
      </c>
      <c r="G28" s="13" t="str">
        <f t="shared" si="0"/>
        <v>KALIGOTA NIHARIKA</v>
      </c>
    </row>
    <row r="29" spans="1:7" x14ac:dyDescent="0.35">
      <c r="A29" s="10" t="s">
        <v>132</v>
      </c>
      <c r="B29" s="11" t="s">
        <v>133</v>
      </c>
      <c r="C29" s="11" t="s">
        <v>28</v>
      </c>
      <c r="D29" s="10">
        <v>8195300576</v>
      </c>
      <c r="E29" s="12" t="s">
        <v>134</v>
      </c>
      <c r="F29" s="11" t="s">
        <v>21</v>
      </c>
      <c r="G29" s="13" t="str">
        <f t="shared" si="0"/>
        <v>KALPANA KODARI</v>
      </c>
    </row>
    <row r="30" spans="1:7" x14ac:dyDescent="0.35">
      <c r="A30" s="10" t="s">
        <v>136</v>
      </c>
      <c r="B30" s="11" t="s">
        <v>137</v>
      </c>
      <c r="C30" s="11" t="s">
        <v>28</v>
      </c>
      <c r="D30" s="10">
        <v>3908490120</v>
      </c>
      <c r="E30" s="12" t="s">
        <v>138</v>
      </c>
      <c r="F30" s="11" t="s">
        <v>34</v>
      </c>
      <c r="G30" s="13" t="str">
        <f t="shared" si="0"/>
        <v>KANCHA AKASH</v>
      </c>
    </row>
    <row r="31" spans="1:7" x14ac:dyDescent="0.35">
      <c r="A31" s="10" t="s">
        <v>140</v>
      </c>
      <c r="B31" s="11" t="s">
        <v>141</v>
      </c>
      <c r="C31" s="11" t="s">
        <v>28</v>
      </c>
      <c r="D31" s="10">
        <v>6654686097</v>
      </c>
      <c r="E31" s="12" t="s">
        <v>142</v>
      </c>
      <c r="F31" s="11" t="s">
        <v>34</v>
      </c>
      <c r="G31" s="13" t="str">
        <f t="shared" si="0"/>
        <v>KASTURI SAI MAHESH</v>
      </c>
    </row>
    <row r="32" spans="1:7" x14ac:dyDescent="0.35">
      <c r="A32" s="10" t="s">
        <v>144</v>
      </c>
      <c r="B32" s="11" t="s">
        <v>145</v>
      </c>
      <c r="C32" s="11" t="s">
        <v>28</v>
      </c>
      <c r="D32" s="10">
        <v>3176554504</v>
      </c>
      <c r="E32" s="12" t="s">
        <v>146</v>
      </c>
      <c r="F32" s="11" t="s">
        <v>34</v>
      </c>
      <c r="G32" s="13" t="str">
        <f t="shared" si="0"/>
        <v>LOVE TIWARI</v>
      </c>
    </row>
    <row r="33" spans="1:7" x14ac:dyDescent="0.35">
      <c r="A33" s="10" t="s">
        <v>148</v>
      </c>
      <c r="B33" s="11" t="s">
        <v>149</v>
      </c>
      <c r="C33" s="11" t="s">
        <v>19</v>
      </c>
      <c r="D33" s="10">
        <v>7375541777</v>
      </c>
      <c r="E33" s="12" t="s">
        <v>150</v>
      </c>
      <c r="F33" s="11" t="s">
        <v>34</v>
      </c>
      <c r="G33" s="13" t="str">
        <f t="shared" si="0"/>
        <v>M. BALAJI</v>
      </c>
    </row>
    <row r="34" spans="1:7" x14ac:dyDescent="0.35">
      <c r="A34" s="10" t="s">
        <v>152</v>
      </c>
      <c r="B34" s="11" t="s">
        <v>153</v>
      </c>
      <c r="C34" s="11" t="s">
        <v>19</v>
      </c>
      <c r="D34" s="10">
        <v>2307603936</v>
      </c>
      <c r="E34" s="12" t="s">
        <v>154</v>
      </c>
      <c r="F34" s="11" t="s">
        <v>21</v>
      </c>
      <c r="G34" s="13" t="str">
        <f t="shared" si="0"/>
        <v>MADHI VAISHNAVI</v>
      </c>
    </row>
    <row r="35" spans="1:7" x14ac:dyDescent="0.35">
      <c r="A35" s="10" t="s">
        <v>155</v>
      </c>
      <c r="B35" s="11" t="s">
        <v>156</v>
      </c>
      <c r="C35" s="11" t="s">
        <v>28</v>
      </c>
      <c r="D35" s="10">
        <v>7539961295</v>
      </c>
      <c r="E35" s="12" t="s">
        <v>157</v>
      </c>
      <c r="F35" s="11" t="s">
        <v>21</v>
      </c>
      <c r="G35" s="13" t="str">
        <f t="shared" si="0"/>
        <v>MANDALOJU NAGALAXMI</v>
      </c>
    </row>
    <row r="36" spans="1:7" x14ac:dyDescent="0.35">
      <c r="A36" s="10" t="s">
        <v>159</v>
      </c>
      <c r="B36" s="11" t="s">
        <v>160</v>
      </c>
      <c r="C36" s="11" t="s">
        <v>28</v>
      </c>
      <c r="D36" s="10">
        <v>8714929594</v>
      </c>
      <c r="E36" s="12" t="s">
        <v>161</v>
      </c>
      <c r="F36" s="11" t="s">
        <v>21</v>
      </c>
      <c r="G36" s="13" t="str">
        <f t="shared" si="0"/>
        <v>MANIKYALA RAMADEVI</v>
      </c>
    </row>
    <row r="37" spans="1:7" x14ac:dyDescent="0.35">
      <c r="A37" s="10" t="s">
        <v>163</v>
      </c>
      <c r="B37" s="11" t="s">
        <v>164</v>
      </c>
      <c r="C37" s="11" t="s">
        <v>19</v>
      </c>
      <c r="D37" s="10">
        <v>6748495954</v>
      </c>
      <c r="E37" s="12" t="s">
        <v>165</v>
      </c>
      <c r="F37" s="11" t="s">
        <v>21</v>
      </c>
      <c r="G37" s="13" t="str">
        <f t="shared" si="0"/>
        <v>MASKA PAVANI</v>
      </c>
    </row>
    <row r="38" spans="1:7" x14ac:dyDescent="0.35">
      <c r="A38" s="10" t="s">
        <v>167</v>
      </c>
      <c r="B38" s="11" t="s">
        <v>168</v>
      </c>
      <c r="C38" s="11" t="s">
        <v>28</v>
      </c>
      <c r="D38" s="10">
        <v>5598318903</v>
      </c>
      <c r="E38" s="12" t="s">
        <v>169</v>
      </c>
      <c r="F38" s="11" t="s">
        <v>21</v>
      </c>
      <c r="G38" s="13" t="str">
        <f t="shared" si="0"/>
        <v>MEGHAGNI MUKHERJEE</v>
      </c>
    </row>
    <row r="39" spans="1:7" x14ac:dyDescent="0.35">
      <c r="A39" s="10" t="s">
        <v>171</v>
      </c>
      <c r="B39" s="11" t="s">
        <v>172</v>
      </c>
      <c r="C39" s="11" t="s">
        <v>28</v>
      </c>
      <c r="D39" s="10">
        <v>5366755536</v>
      </c>
      <c r="E39" s="12" t="s">
        <v>173</v>
      </c>
      <c r="F39" s="11" t="s">
        <v>34</v>
      </c>
      <c r="G39" s="13" t="str">
        <f t="shared" si="0"/>
        <v>N LAXMI NARASIMHA</v>
      </c>
    </row>
    <row r="40" spans="1:7" x14ac:dyDescent="0.35">
      <c r="A40" s="10" t="s">
        <v>175</v>
      </c>
      <c r="B40" s="11" t="s">
        <v>176</v>
      </c>
      <c r="C40" s="11" t="s">
        <v>19</v>
      </c>
      <c r="D40" s="10">
        <v>5685425899</v>
      </c>
      <c r="E40" s="12" t="s">
        <v>177</v>
      </c>
      <c r="F40" s="11" t="s">
        <v>21</v>
      </c>
      <c r="G40" s="13" t="str">
        <f t="shared" si="0"/>
        <v>NANAPURAJ LAHARIKA</v>
      </c>
    </row>
    <row r="41" spans="1:7" x14ac:dyDescent="0.35">
      <c r="A41" s="10" t="s">
        <v>179</v>
      </c>
      <c r="B41" s="11" t="s">
        <v>180</v>
      </c>
      <c r="C41" s="11" t="s">
        <v>19</v>
      </c>
      <c r="D41" s="10">
        <v>8546891943</v>
      </c>
      <c r="E41" s="12" t="s">
        <v>181</v>
      </c>
      <c r="F41" s="11" t="s">
        <v>34</v>
      </c>
      <c r="G41" s="13" t="str">
        <f t="shared" si="0"/>
        <v>NARRA VENKATA SAI</v>
      </c>
    </row>
    <row r="42" spans="1:7" x14ac:dyDescent="0.35">
      <c r="A42" s="10" t="s">
        <v>183</v>
      </c>
      <c r="B42" s="11" t="s">
        <v>184</v>
      </c>
      <c r="C42" s="11" t="s">
        <v>19</v>
      </c>
      <c r="D42" s="10">
        <v>7905481507</v>
      </c>
      <c r="E42" s="12" t="s">
        <v>185</v>
      </c>
      <c r="F42" s="11" t="s">
        <v>34</v>
      </c>
      <c r="G42" s="13" t="str">
        <f t="shared" si="0"/>
        <v>NAVUDU TEJESH</v>
      </c>
    </row>
    <row r="43" spans="1:7" x14ac:dyDescent="0.35">
      <c r="A43" s="10" t="s">
        <v>187</v>
      </c>
      <c r="B43" s="11" t="s">
        <v>188</v>
      </c>
      <c r="C43" s="11" t="s">
        <v>19</v>
      </c>
      <c r="D43" s="10">
        <v>5681445328</v>
      </c>
      <c r="E43" s="12" t="s">
        <v>189</v>
      </c>
      <c r="F43" s="11" t="s">
        <v>21</v>
      </c>
      <c r="G43" s="13" t="str">
        <f t="shared" si="0"/>
        <v>PALLEY SHRAVANI</v>
      </c>
    </row>
    <row r="44" spans="1:7" x14ac:dyDescent="0.35">
      <c r="A44" s="10" t="s">
        <v>190</v>
      </c>
      <c r="B44" s="11" t="s">
        <v>191</v>
      </c>
      <c r="C44" s="11" t="s">
        <v>28</v>
      </c>
      <c r="D44" s="10">
        <v>1576469041</v>
      </c>
      <c r="E44" s="12" t="s">
        <v>192</v>
      </c>
      <c r="F44" s="11" t="s">
        <v>34</v>
      </c>
      <c r="G44" s="13" t="str">
        <f t="shared" si="0"/>
        <v>PAPAKANTI RAJU</v>
      </c>
    </row>
    <row r="45" spans="1:7" x14ac:dyDescent="0.35">
      <c r="A45" s="10" t="s">
        <v>194</v>
      </c>
      <c r="B45" s="11" t="s">
        <v>195</v>
      </c>
      <c r="C45" s="11" t="s">
        <v>28</v>
      </c>
      <c r="D45" s="10">
        <v>7244391357</v>
      </c>
      <c r="E45" s="12" t="s">
        <v>196</v>
      </c>
      <c r="F45" s="11" t="s">
        <v>34</v>
      </c>
      <c r="G45" s="13" t="str">
        <f t="shared" si="0"/>
        <v>PRATAPAGIRI NEELAKANTA SASTRY</v>
      </c>
    </row>
    <row r="46" spans="1:7" x14ac:dyDescent="0.35">
      <c r="A46" s="10" t="s">
        <v>198</v>
      </c>
      <c r="B46" s="11" t="s">
        <v>199</v>
      </c>
      <c r="C46" s="11" t="s">
        <v>28</v>
      </c>
      <c r="D46" s="10">
        <v>5713887644</v>
      </c>
      <c r="E46" s="12" t="s">
        <v>200</v>
      </c>
      <c r="F46" s="11" t="s">
        <v>34</v>
      </c>
      <c r="G46" s="13" t="str">
        <f t="shared" si="0"/>
        <v>PRAVEEN RAJPOOT</v>
      </c>
    </row>
    <row r="47" spans="1:7" x14ac:dyDescent="0.35">
      <c r="A47" s="10" t="s">
        <v>202</v>
      </c>
      <c r="B47" s="11" t="s">
        <v>203</v>
      </c>
      <c r="C47" s="11" t="s">
        <v>19</v>
      </c>
      <c r="D47" s="10">
        <v>4360003876</v>
      </c>
      <c r="E47" s="12" t="s">
        <v>204</v>
      </c>
      <c r="F47" s="11" t="s">
        <v>34</v>
      </c>
      <c r="G47" s="13" t="str">
        <f t="shared" si="0"/>
        <v>R. VIGNESH</v>
      </c>
    </row>
    <row r="48" spans="1:7" x14ac:dyDescent="0.35">
      <c r="A48" s="10" t="s">
        <v>206</v>
      </c>
      <c r="B48" s="11" t="s">
        <v>207</v>
      </c>
      <c r="C48" s="11" t="s">
        <v>28</v>
      </c>
      <c r="D48" s="10">
        <v>6232183694</v>
      </c>
      <c r="E48" s="12" t="s">
        <v>208</v>
      </c>
      <c r="F48" s="11" t="s">
        <v>34</v>
      </c>
      <c r="G48" s="13" t="str">
        <f t="shared" si="0"/>
        <v>RACHAMANDUGU AJAYKUMAR</v>
      </c>
    </row>
    <row r="49" spans="1:7" x14ac:dyDescent="0.35">
      <c r="A49" s="10" t="s">
        <v>210</v>
      </c>
      <c r="B49" s="11" t="s">
        <v>211</v>
      </c>
      <c r="C49" s="11" t="s">
        <v>28</v>
      </c>
      <c r="D49" s="10">
        <v>6682877186</v>
      </c>
      <c r="E49" s="12" t="s">
        <v>212</v>
      </c>
      <c r="F49" s="11" t="s">
        <v>21</v>
      </c>
      <c r="G49" s="13" t="str">
        <f t="shared" si="0"/>
        <v>REVALLI NAGESHWARI</v>
      </c>
    </row>
    <row r="50" spans="1:7" x14ac:dyDescent="0.35">
      <c r="A50" s="10" t="s">
        <v>214</v>
      </c>
      <c r="B50" s="11" t="s">
        <v>215</v>
      </c>
      <c r="C50" s="11" t="s">
        <v>19</v>
      </c>
      <c r="D50" s="10">
        <v>8911831176</v>
      </c>
      <c r="E50" s="12" t="s">
        <v>216</v>
      </c>
      <c r="F50" s="11" t="s">
        <v>34</v>
      </c>
      <c r="G50" s="13" t="str">
        <f t="shared" si="0"/>
        <v>ROHIT REDDY</v>
      </c>
    </row>
    <row r="51" spans="1:7" x14ac:dyDescent="0.35">
      <c r="A51" s="10" t="s">
        <v>218</v>
      </c>
      <c r="B51" s="11" t="s">
        <v>219</v>
      </c>
      <c r="C51" s="11" t="s">
        <v>28</v>
      </c>
      <c r="D51" s="10">
        <v>5328455783</v>
      </c>
      <c r="E51" s="12" t="s">
        <v>220</v>
      </c>
      <c r="F51" s="11" t="s">
        <v>21</v>
      </c>
      <c r="G51" s="13" t="str">
        <f t="shared" si="0"/>
        <v>RUCHI RANJAN</v>
      </c>
    </row>
    <row r="52" spans="1:7" x14ac:dyDescent="0.35">
      <c r="A52" s="10" t="s">
        <v>222</v>
      </c>
      <c r="B52" s="11" t="s">
        <v>223</v>
      </c>
      <c r="C52" s="11" t="s">
        <v>19</v>
      </c>
      <c r="D52" s="10">
        <v>4825148027</v>
      </c>
      <c r="E52" s="12" t="s">
        <v>224</v>
      </c>
      <c r="F52" s="11" t="s">
        <v>34</v>
      </c>
      <c r="G52" s="13" t="str">
        <f t="shared" si="0"/>
        <v>SHAIK FAHAD</v>
      </c>
    </row>
    <row r="53" spans="1:7" x14ac:dyDescent="0.35">
      <c r="A53" s="10" t="s">
        <v>226</v>
      </c>
      <c r="B53" s="11" t="s">
        <v>227</v>
      </c>
      <c r="C53" s="11" t="s">
        <v>28</v>
      </c>
      <c r="D53" s="10">
        <v>3228331930</v>
      </c>
      <c r="E53" s="12" t="s">
        <v>228</v>
      </c>
      <c r="F53" s="11" t="s">
        <v>34</v>
      </c>
      <c r="G53" s="13" t="str">
        <f t="shared" si="0"/>
        <v>SHAIK SAMEER AHMED</v>
      </c>
    </row>
    <row r="54" spans="1:7" x14ac:dyDescent="0.35">
      <c r="A54" s="10" t="s">
        <v>230</v>
      </c>
      <c r="B54" s="11" t="s">
        <v>231</v>
      </c>
      <c r="C54" s="11" t="s">
        <v>28</v>
      </c>
      <c r="D54" s="10">
        <v>7158666834</v>
      </c>
      <c r="E54" s="12" t="s">
        <v>232</v>
      </c>
      <c r="F54" s="11" t="s">
        <v>34</v>
      </c>
      <c r="G54" s="13" t="str">
        <f t="shared" si="0"/>
        <v>SHEJUL BALAJI RAMESHWAR</v>
      </c>
    </row>
    <row r="55" spans="1:7" x14ac:dyDescent="0.35">
      <c r="A55" s="10" t="s">
        <v>234</v>
      </c>
      <c r="B55" s="11" t="s">
        <v>235</v>
      </c>
      <c r="C55" s="11" t="s">
        <v>28</v>
      </c>
      <c r="D55" s="10">
        <v>7998839021</v>
      </c>
      <c r="E55" s="12" t="s">
        <v>236</v>
      </c>
      <c r="F55" s="11" t="s">
        <v>34</v>
      </c>
      <c r="G55" s="13" t="str">
        <f t="shared" si="0"/>
        <v>SHOAIB AKHTAR</v>
      </c>
    </row>
    <row r="56" spans="1:7" x14ac:dyDescent="0.35">
      <c r="A56" s="10" t="s">
        <v>238</v>
      </c>
      <c r="B56" s="11" t="s">
        <v>239</v>
      </c>
      <c r="C56" s="11" t="s">
        <v>28</v>
      </c>
      <c r="D56" s="10">
        <v>8550635195</v>
      </c>
      <c r="E56" s="12" t="s">
        <v>240</v>
      </c>
      <c r="F56" s="11" t="s">
        <v>21</v>
      </c>
      <c r="G56" s="13" t="str">
        <f t="shared" si="0"/>
        <v>SINGAM KRISHNA VENI</v>
      </c>
    </row>
    <row r="57" spans="1:7" x14ac:dyDescent="0.35">
      <c r="A57" s="10" t="s">
        <v>242</v>
      </c>
      <c r="B57" s="11" t="s">
        <v>243</v>
      </c>
      <c r="C57" s="11" t="s">
        <v>28</v>
      </c>
      <c r="D57" s="10">
        <v>8733465367</v>
      </c>
      <c r="E57" s="12" t="s">
        <v>244</v>
      </c>
      <c r="F57" s="11" t="s">
        <v>21</v>
      </c>
      <c r="G57" s="13" t="str">
        <f t="shared" si="0"/>
        <v>SINGUDASU PALLAVI</v>
      </c>
    </row>
    <row r="58" spans="1:7" x14ac:dyDescent="0.35">
      <c r="A58" s="10" t="s">
        <v>246</v>
      </c>
      <c r="B58" s="11" t="s">
        <v>247</v>
      </c>
      <c r="C58" s="11" t="s">
        <v>19</v>
      </c>
      <c r="D58" s="10">
        <v>6153044829</v>
      </c>
      <c r="E58" s="12" t="s">
        <v>248</v>
      </c>
      <c r="F58" s="11" t="s">
        <v>34</v>
      </c>
      <c r="G58" s="13" t="str">
        <f t="shared" si="0"/>
        <v>SUBHASHIS PAL</v>
      </c>
    </row>
    <row r="59" spans="1:7" x14ac:dyDescent="0.35">
      <c r="A59" s="10" t="s">
        <v>250</v>
      </c>
      <c r="B59" s="11" t="s">
        <v>251</v>
      </c>
      <c r="C59" s="11" t="s">
        <v>28</v>
      </c>
      <c r="D59" s="10">
        <v>4496254693</v>
      </c>
      <c r="E59" s="12" t="s">
        <v>252</v>
      </c>
      <c r="F59" s="11" t="s">
        <v>34</v>
      </c>
      <c r="G59" s="13" t="str">
        <f t="shared" si="0"/>
        <v>SUJEET KUMAR</v>
      </c>
    </row>
    <row r="60" spans="1:7" x14ac:dyDescent="0.35">
      <c r="A60" s="10" t="s">
        <v>254</v>
      </c>
      <c r="B60" s="11" t="s">
        <v>255</v>
      </c>
      <c r="C60" s="11" t="s">
        <v>28</v>
      </c>
      <c r="D60" s="10">
        <v>2881088394</v>
      </c>
      <c r="E60" s="12" t="s">
        <v>256</v>
      </c>
      <c r="F60" s="11" t="s">
        <v>21</v>
      </c>
      <c r="G60" s="13" t="str">
        <f t="shared" si="0"/>
        <v>SURUCHI RANJAN</v>
      </c>
    </row>
    <row r="61" spans="1:7" x14ac:dyDescent="0.35">
      <c r="A61" s="10" t="s">
        <v>257</v>
      </c>
      <c r="B61" s="11" t="s">
        <v>258</v>
      </c>
      <c r="C61" s="11" t="s">
        <v>19</v>
      </c>
      <c r="D61" s="10">
        <v>3401449282</v>
      </c>
      <c r="E61" s="12" t="s">
        <v>259</v>
      </c>
      <c r="F61" s="11" t="s">
        <v>34</v>
      </c>
      <c r="G61" s="13" t="str">
        <f t="shared" si="0"/>
        <v>SUVENDU KHATUA</v>
      </c>
    </row>
    <row r="62" spans="1:7" x14ac:dyDescent="0.35">
      <c r="A62" s="10" t="s">
        <v>261</v>
      </c>
      <c r="B62" s="11" t="s">
        <v>262</v>
      </c>
      <c r="C62" s="11" t="s">
        <v>28</v>
      </c>
      <c r="D62" s="10">
        <v>4405995363</v>
      </c>
      <c r="E62" s="12" t="s">
        <v>263</v>
      </c>
      <c r="F62" s="11" t="s">
        <v>34</v>
      </c>
      <c r="G62" s="13" t="str">
        <f t="shared" si="0"/>
        <v>SYED ABDUL HAKEEM</v>
      </c>
    </row>
    <row r="63" spans="1:7" x14ac:dyDescent="0.35">
      <c r="A63" s="10" t="s">
        <v>265</v>
      </c>
      <c r="B63" s="11" t="s">
        <v>266</v>
      </c>
      <c r="C63" s="11" t="s">
        <v>28</v>
      </c>
      <c r="D63" s="10">
        <v>2219599156</v>
      </c>
      <c r="E63" s="12" t="s">
        <v>267</v>
      </c>
      <c r="F63" s="11" t="s">
        <v>34</v>
      </c>
      <c r="G63" s="13" t="str">
        <f t="shared" si="0"/>
        <v>SYED ABDUL HALEEM</v>
      </c>
    </row>
    <row r="64" spans="1:7" x14ac:dyDescent="0.35">
      <c r="A64" s="10" t="s">
        <v>268</v>
      </c>
      <c r="B64" s="11" t="s">
        <v>269</v>
      </c>
      <c r="C64" s="11" t="s">
        <v>19</v>
      </c>
      <c r="D64" s="10">
        <v>3482112190</v>
      </c>
      <c r="E64" s="12" t="s">
        <v>270</v>
      </c>
      <c r="F64" s="11" t="s">
        <v>34</v>
      </c>
      <c r="G64" s="13" t="str">
        <f t="shared" si="0"/>
        <v>SYED ADIL</v>
      </c>
    </row>
    <row r="65" spans="1:7" x14ac:dyDescent="0.35">
      <c r="A65" s="10" t="s">
        <v>272</v>
      </c>
      <c r="B65" s="11" t="s">
        <v>273</v>
      </c>
      <c r="C65" s="11" t="s">
        <v>28</v>
      </c>
      <c r="D65" s="10">
        <v>8411360361</v>
      </c>
      <c r="E65" s="12" t="s">
        <v>274</v>
      </c>
      <c r="F65" s="11" t="s">
        <v>34</v>
      </c>
      <c r="G65" s="13" t="str">
        <f t="shared" si="0"/>
        <v>VELUPULA SUNIL KUMAR</v>
      </c>
    </row>
    <row r="66" spans="1:7" ht="15.5" x14ac:dyDescent="0.35">
      <c r="A66" s="10" t="s">
        <v>276</v>
      </c>
      <c r="B66" s="15" t="s">
        <v>277</v>
      </c>
      <c r="C66" s="15" t="s">
        <v>19</v>
      </c>
      <c r="D66" s="10">
        <v>2842414479</v>
      </c>
      <c r="E66" s="12" t="s">
        <v>278</v>
      </c>
      <c r="F66" s="15" t="s">
        <v>34</v>
      </c>
      <c r="G66" s="13" t="str">
        <f t="shared" si="0"/>
        <v>BALA CHARY</v>
      </c>
    </row>
    <row r="67" spans="1:7" ht="15.5" x14ac:dyDescent="0.35">
      <c r="A67" s="10" t="s">
        <v>280</v>
      </c>
      <c r="B67" s="15" t="s">
        <v>281</v>
      </c>
      <c r="C67" s="15" t="s">
        <v>28</v>
      </c>
      <c r="D67" s="10">
        <v>5876113945</v>
      </c>
      <c r="E67" s="12" t="s">
        <v>282</v>
      </c>
      <c r="F67" s="15" t="s">
        <v>21</v>
      </c>
      <c r="G67" s="13" t="str">
        <f t="shared" ref="G67:G81" si="1">B67</f>
        <v>BANDARI SRUJANA</v>
      </c>
    </row>
    <row r="68" spans="1:7" ht="15.5" x14ac:dyDescent="0.35">
      <c r="A68" s="10" t="s">
        <v>284</v>
      </c>
      <c r="B68" s="15" t="s">
        <v>285</v>
      </c>
      <c r="C68" s="15" t="s">
        <v>28</v>
      </c>
      <c r="D68" s="10">
        <v>4273126076</v>
      </c>
      <c r="E68" s="12" t="s">
        <v>286</v>
      </c>
      <c r="F68" s="15" t="s">
        <v>34</v>
      </c>
      <c r="G68" s="13" t="str">
        <f t="shared" si="1"/>
        <v>DURGA PRASAD</v>
      </c>
    </row>
    <row r="69" spans="1:7" ht="15.5" x14ac:dyDescent="0.35">
      <c r="A69" s="10" t="s">
        <v>288</v>
      </c>
      <c r="B69" s="15" t="s">
        <v>289</v>
      </c>
      <c r="C69" s="15" t="s">
        <v>28</v>
      </c>
      <c r="D69" s="10">
        <v>8077085042</v>
      </c>
      <c r="E69" s="12" t="s">
        <v>290</v>
      </c>
      <c r="F69" s="15" t="s">
        <v>21</v>
      </c>
      <c r="G69" s="13" t="str">
        <f t="shared" si="1"/>
        <v>K PAVANI</v>
      </c>
    </row>
    <row r="70" spans="1:7" ht="15.5" x14ac:dyDescent="0.35">
      <c r="A70" s="10" t="s">
        <v>292</v>
      </c>
      <c r="B70" s="15" t="s">
        <v>293</v>
      </c>
      <c r="C70" s="15" t="s">
        <v>19</v>
      </c>
      <c r="D70" s="10">
        <v>8112643867</v>
      </c>
      <c r="E70" s="12" t="s">
        <v>294</v>
      </c>
      <c r="F70" s="15" t="s">
        <v>34</v>
      </c>
      <c r="G70" s="13" t="str">
        <f t="shared" si="1"/>
        <v>M KOMAL RAJ</v>
      </c>
    </row>
    <row r="71" spans="1:7" ht="15.5" x14ac:dyDescent="0.35">
      <c r="A71" s="10" t="s">
        <v>295</v>
      </c>
      <c r="B71" s="15" t="s">
        <v>296</v>
      </c>
      <c r="C71" s="15" t="s">
        <v>28</v>
      </c>
      <c r="D71" s="10">
        <v>3685782386</v>
      </c>
      <c r="E71" s="12" t="s">
        <v>297</v>
      </c>
      <c r="F71" s="15" t="s">
        <v>21</v>
      </c>
      <c r="G71" s="13" t="str">
        <f t="shared" si="1"/>
        <v>MEDI SANGEETHA</v>
      </c>
    </row>
    <row r="72" spans="1:7" ht="15.5" x14ac:dyDescent="0.35">
      <c r="A72" s="10" t="s">
        <v>298</v>
      </c>
      <c r="B72" s="15" t="s">
        <v>299</v>
      </c>
      <c r="C72" s="15" t="s">
        <v>28</v>
      </c>
      <c r="D72" s="10">
        <v>6205596324</v>
      </c>
      <c r="E72" s="12" t="s">
        <v>300</v>
      </c>
      <c r="F72" s="15" t="s">
        <v>34</v>
      </c>
      <c r="G72" s="13" t="str">
        <f t="shared" si="1"/>
        <v>N.PARAMESH</v>
      </c>
    </row>
    <row r="73" spans="1:7" ht="15.5" x14ac:dyDescent="0.35">
      <c r="A73" s="10" t="s">
        <v>302</v>
      </c>
      <c r="B73" s="15" t="s">
        <v>303</v>
      </c>
      <c r="C73" s="15" t="s">
        <v>19</v>
      </c>
      <c r="D73" s="10">
        <v>6578497608</v>
      </c>
      <c r="E73" s="12" t="s">
        <v>304</v>
      </c>
      <c r="F73" s="15" t="s">
        <v>34</v>
      </c>
      <c r="G73" s="13" t="str">
        <f t="shared" si="1"/>
        <v>NAGA CHANDU V</v>
      </c>
    </row>
    <row r="74" spans="1:7" ht="15.5" x14ac:dyDescent="0.35">
      <c r="A74" s="10" t="s">
        <v>306</v>
      </c>
      <c r="B74" s="15" t="s">
        <v>307</v>
      </c>
      <c r="C74" s="15" t="s">
        <v>28</v>
      </c>
      <c r="D74" s="10">
        <v>2602080020</v>
      </c>
      <c r="E74" s="12" t="s">
        <v>308</v>
      </c>
      <c r="F74" s="15" t="s">
        <v>34</v>
      </c>
      <c r="G74" s="13" t="str">
        <f t="shared" si="1"/>
        <v>S SAMEER</v>
      </c>
    </row>
    <row r="75" spans="1:7" ht="15.5" x14ac:dyDescent="0.35">
      <c r="A75" s="10" t="s">
        <v>310</v>
      </c>
      <c r="B75" s="15" t="s">
        <v>311</v>
      </c>
      <c r="C75" s="15" t="s">
        <v>19</v>
      </c>
      <c r="D75" s="10">
        <v>8796416295</v>
      </c>
      <c r="E75" s="12" t="s">
        <v>312</v>
      </c>
      <c r="F75" s="15" t="s">
        <v>34</v>
      </c>
      <c r="G75" s="13" t="str">
        <f t="shared" si="1"/>
        <v>SALVADI VENKATESH</v>
      </c>
    </row>
    <row r="76" spans="1:7" ht="15.5" x14ac:dyDescent="0.35">
      <c r="A76" s="10" t="s">
        <v>314</v>
      </c>
      <c r="B76" s="15" t="s">
        <v>315</v>
      </c>
      <c r="C76" s="15" t="s">
        <v>19</v>
      </c>
      <c r="D76" s="10">
        <v>5978571640</v>
      </c>
      <c r="E76" s="12" t="s">
        <v>316</v>
      </c>
      <c r="F76" s="15" t="s">
        <v>34</v>
      </c>
      <c r="G76" s="13" t="str">
        <f t="shared" si="1"/>
        <v>UPPUNUTHALA PURUSHOTHAM</v>
      </c>
    </row>
    <row r="77" spans="1:7" ht="15.5" x14ac:dyDescent="0.35">
      <c r="A77" s="10" t="s">
        <v>318</v>
      </c>
      <c r="B77" s="15" t="s">
        <v>319</v>
      </c>
      <c r="C77" s="15" t="s">
        <v>28</v>
      </c>
      <c r="D77" s="10">
        <v>5716170881</v>
      </c>
      <c r="E77" s="12" t="s">
        <v>320</v>
      </c>
      <c r="F77" s="15" t="s">
        <v>34</v>
      </c>
      <c r="G77" s="13" t="str">
        <f t="shared" si="1"/>
        <v xml:space="preserve">VINAY KUMAR </v>
      </c>
    </row>
    <row r="78" spans="1:7" ht="15.5" x14ac:dyDescent="0.35">
      <c r="A78" s="10" t="s">
        <v>322</v>
      </c>
      <c r="B78" s="15" t="s">
        <v>323</v>
      </c>
      <c r="C78" s="15" t="s">
        <v>28</v>
      </c>
      <c r="D78" s="10">
        <v>6927479136</v>
      </c>
      <c r="E78" s="12" t="s">
        <v>324</v>
      </c>
      <c r="F78" s="15" t="s">
        <v>21</v>
      </c>
      <c r="G78" s="13" t="str">
        <f t="shared" si="1"/>
        <v>YARRA NAVYA SAHITHI</v>
      </c>
    </row>
    <row r="79" spans="1:7" x14ac:dyDescent="0.35">
      <c r="A79" s="10" t="s">
        <v>326</v>
      </c>
      <c r="B79" s="11" t="s">
        <v>327</v>
      </c>
      <c r="C79" s="11" t="s">
        <v>28</v>
      </c>
      <c r="D79" s="10">
        <v>8625176197</v>
      </c>
      <c r="E79" s="12" t="s">
        <v>328</v>
      </c>
      <c r="F79" s="11" t="s">
        <v>34</v>
      </c>
      <c r="G79" s="13" t="str">
        <f t="shared" si="1"/>
        <v>M. Aravind</v>
      </c>
    </row>
    <row r="80" spans="1:7" x14ac:dyDescent="0.35">
      <c r="A80" s="10" t="s">
        <v>329</v>
      </c>
      <c r="B80" s="11" t="s">
        <v>330</v>
      </c>
      <c r="C80" s="11" t="s">
        <v>28</v>
      </c>
      <c r="D80" s="10">
        <v>3221738150</v>
      </c>
      <c r="E80" s="12" t="s">
        <v>331</v>
      </c>
      <c r="F80" s="11" t="s">
        <v>34</v>
      </c>
      <c r="G80" s="13" t="str">
        <f t="shared" si="1"/>
        <v>Surya Kiran</v>
      </c>
    </row>
    <row r="81" spans="1:7" x14ac:dyDescent="0.35">
      <c r="A81" s="10" t="s">
        <v>332</v>
      </c>
      <c r="B81" s="11" t="s">
        <v>333</v>
      </c>
      <c r="C81" s="11" t="s">
        <v>28</v>
      </c>
      <c r="D81" s="10">
        <v>2217423855</v>
      </c>
      <c r="E81" s="12" t="s">
        <v>334</v>
      </c>
      <c r="F81" s="11" t="s">
        <v>34</v>
      </c>
      <c r="G81" s="13" t="str">
        <f t="shared" si="1"/>
        <v>B Aravind</v>
      </c>
    </row>
    <row r="82" spans="1:7" x14ac:dyDescent="0.35">
      <c r="A82" s="3">
        <v>123</v>
      </c>
      <c r="B82" s="3"/>
      <c r="C82" s="3"/>
      <c r="D82" s="2"/>
      <c r="E82" s="3"/>
      <c r="F82" s="3"/>
      <c r="G82" s="3"/>
    </row>
  </sheetData>
  <hyperlinks>
    <hyperlink ref="E4" r:id="rId1" xr:uid="{1BCC78B9-3B04-4270-9C97-C1661D75ABD2}"/>
    <hyperlink ref="E2" r:id="rId2" xr:uid="{CAD5BC0B-D741-47AF-8D8E-1B5FF9C2B5B7}"/>
    <hyperlink ref="E3" r:id="rId3" xr:uid="{FFF3F585-D63C-4C52-A4F0-A591514572FB}"/>
    <hyperlink ref="E5" r:id="rId4" xr:uid="{1EFA8325-3AC6-489A-8A6F-9CCC697DEBF4}"/>
    <hyperlink ref="E6" r:id="rId5" xr:uid="{B2244F7A-E17E-4661-B6E6-DBFD5C8D8DF6}"/>
    <hyperlink ref="E7" r:id="rId6" xr:uid="{F68FCBFD-17BE-4BAE-97B2-669446A78DA7}"/>
    <hyperlink ref="E8" r:id="rId7" xr:uid="{508D303F-7AFA-42A1-9149-AEF302FEA155}"/>
    <hyperlink ref="E9" r:id="rId8" xr:uid="{67074F39-9545-45A5-9E13-2EA8A8DBDF86}"/>
    <hyperlink ref="E10" r:id="rId9" xr:uid="{CA9E9078-52AF-465B-9B2E-0329BCB61D62}"/>
    <hyperlink ref="E11" r:id="rId10" xr:uid="{54FB0D17-1B43-415F-B1E0-4963A7CF1958}"/>
    <hyperlink ref="E12" r:id="rId11" xr:uid="{E3B26F28-5DC2-42DD-B892-4A5C81C427FF}"/>
    <hyperlink ref="E13" r:id="rId12" xr:uid="{F4293275-548C-4F33-B822-79F72B76AC7E}"/>
    <hyperlink ref="E14" r:id="rId13" xr:uid="{C2E3039C-5F40-4C42-95DB-EB70557AFCCB}"/>
    <hyperlink ref="E15" r:id="rId14" xr:uid="{058E321D-FECB-4A95-9DBF-D1ED9443696E}"/>
    <hyperlink ref="E16" r:id="rId15" xr:uid="{0EA1149E-62E7-4E3F-B641-C4D3A67AB056}"/>
    <hyperlink ref="E17" r:id="rId16" xr:uid="{945D3122-FD25-445A-A5DD-6BD9EE1505AC}"/>
    <hyperlink ref="E18" r:id="rId17" xr:uid="{159848DF-32B0-4313-9A91-9EB715735FAE}"/>
    <hyperlink ref="E19" r:id="rId18" xr:uid="{C982869B-3291-4405-B9D3-BCA902C30066}"/>
    <hyperlink ref="E20" r:id="rId19" xr:uid="{2AF1A926-E013-49E6-8FF6-E3292337BFEF}"/>
    <hyperlink ref="E21" r:id="rId20" xr:uid="{FBD66ED5-8BF0-4B5D-A2D7-3D1FD678F0D3}"/>
    <hyperlink ref="E22" r:id="rId21" xr:uid="{5E892813-5653-49EF-89C4-8DFD1077FB8E}"/>
    <hyperlink ref="E23" r:id="rId22" xr:uid="{DA9879ED-839F-49C1-AFB7-EDB2E99E60A9}"/>
    <hyperlink ref="E24" r:id="rId23" xr:uid="{4201B184-1AD9-4722-92E7-A3A905FCAF3E}"/>
    <hyperlink ref="E25" r:id="rId24" xr:uid="{FF91EC1B-1459-4CB4-AA2E-2B2822112ADC}"/>
    <hyperlink ref="E26" r:id="rId25" xr:uid="{10645F9A-0B21-4B32-AE00-01C1E0218E98}"/>
    <hyperlink ref="E27" r:id="rId26" xr:uid="{B734637B-0AB6-4D09-830C-AC75294B3B31}"/>
    <hyperlink ref="E28" r:id="rId27" xr:uid="{4D76FFBA-01CC-45EF-9F84-E56A59CC94AB}"/>
    <hyperlink ref="E29" r:id="rId28" xr:uid="{60AB656A-249B-4E75-85E0-6343F6C7167D}"/>
    <hyperlink ref="E30" r:id="rId29" xr:uid="{FF864A06-BB79-40B1-AA95-9DA8A6FF9151}"/>
    <hyperlink ref="E31" r:id="rId30" xr:uid="{D614D670-4074-429A-A192-568BD40D51DD}"/>
    <hyperlink ref="E32" r:id="rId31" xr:uid="{8868B064-E240-40FB-99A6-8536D2C8D4FE}"/>
    <hyperlink ref="E33" r:id="rId32" xr:uid="{A2C3807D-2F66-44FE-B7D9-8DF5780C8F65}"/>
    <hyperlink ref="E34" r:id="rId33" xr:uid="{6E7D613E-3D69-4153-AB69-512DA68602A0}"/>
    <hyperlink ref="E35" r:id="rId34" xr:uid="{17B4846D-E601-44E3-8A10-83F6A389BB66}"/>
    <hyperlink ref="E36" r:id="rId35" xr:uid="{1FC6027B-195C-4166-9782-E06C50762C73}"/>
    <hyperlink ref="E37" r:id="rId36" xr:uid="{9F701070-D4BD-44B8-8471-FE3B6C583DA1}"/>
    <hyperlink ref="E38" r:id="rId37" xr:uid="{F6956EFE-7DBE-4B15-98D9-53CA2BAE0DB9}"/>
    <hyperlink ref="E39" r:id="rId38" xr:uid="{DDA3B386-818A-438E-B03D-D1A0B1288436}"/>
    <hyperlink ref="E40" r:id="rId39" xr:uid="{6878EDEF-2EBA-4ECB-9F8B-B1469A1F4343}"/>
    <hyperlink ref="E41" r:id="rId40" xr:uid="{0F2A7EDA-0312-4C9F-ACEC-62870089E91D}"/>
    <hyperlink ref="E42" r:id="rId41" xr:uid="{E5D24F5C-09A5-420B-917C-71DC3A757129}"/>
    <hyperlink ref="E43" r:id="rId42" xr:uid="{43D55310-9D9D-412F-BC84-7B866F3BAECA}"/>
    <hyperlink ref="E44" r:id="rId43" xr:uid="{33E167D1-3193-4DB1-A3DC-4BBB45A8AAB1}"/>
    <hyperlink ref="E45" r:id="rId44" xr:uid="{BDD8A75F-B110-4366-9284-B7C7A0776F7F}"/>
    <hyperlink ref="E46" r:id="rId45" xr:uid="{74E5748A-297A-48D4-AB33-62C217C340D5}"/>
    <hyperlink ref="E47" r:id="rId46" xr:uid="{D9A330AC-6C0C-4C55-8DFF-990185CD2EFD}"/>
    <hyperlink ref="E48" r:id="rId47" xr:uid="{84892669-89CF-4E8B-8209-741301B1DE12}"/>
    <hyperlink ref="E49" r:id="rId48" xr:uid="{DAF227F1-ED3C-4C79-840C-A5BE995B40E6}"/>
    <hyperlink ref="E50" r:id="rId49" xr:uid="{19C7C8B6-7344-44DF-87E0-A8046343B051}"/>
    <hyperlink ref="E51" r:id="rId50" xr:uid="{0F0B0F7C-D394-4929-A180-F511BF15A46B}"/>
    <hyperlink ref="E52" r:id="rId51" xr:uid="{591B9F15-0687-4600-9542-144226BC5B19}"/>
    <hyperlink ref="E53" r:id="rId52" xr:uid="{4B122E24-8067-409F-BAFA-F06F899BBC93}"/>
    <hyperlink ref="E54" r:id="rId53" xr:uid="{7D08294D-2B93-4D22-8DEA-F93A82CE93BE}"/>
    <hyperlink ref="E55" r:id="rId54" xr:uid="{3B6CC6DD-EBF7-4C5A-A225-65DD80A2124B}"/>
    <hyperlink ref="E56" r:id="rId55" xr:uid="{C7593353-CBA2-4963-9BFA-2F853B2027BC}"/>
    <hyperlink ref="E57" r:id="rId56" xr:uid="{0EDF3FCA-E808-4418-A2AD-1A33E69A55C8}"/>
    <hyperlink ref="E58" r:id="rId57" xr:uid="{448DE31F-7844-4125-B8AE-7E9DA107048F}"/>
    <hyperlink ref="E59" r:id="rId58" xr:uid="{2B027434-F7A9-4520-93D4-3E33531FDB9E}"/>
    <hyperlink ref="E60" r:id="rId59" xr:uid="{77E482CC-2979-448D-8184-9A89F8D7A419}"/>
    <hyperlink ref="E61" r:id="rId60" xr:uid="{DFD99B7B-5D42-41A1-AEAE-6AAD8B5284D8}"/>
    <hyperlink ref="E62" r:id="rId61" xr:uid="{C3BF03C7-BC4A-4F9F-BFD5-855BAFD97822}"/>
    <hyperlink ref="E63" r:id="rId62" xr:uid="{1B73DB2E-D488-4633-89BF-FDD0E016B2D8}"/>
    <hyperlink ref="E64" r:id="rId63" xr:uid="{F77E4D6B-CF09-4E8C-AFBD-2F8ACD46942B}"/>
    <hyperlink ref="E65" r:id="rId64" xr:uid="{E3BC2C44-06A2-4047-8FAF-FE27055CA330}"/>
    <hyperlink ref="E66" r:id="rId65" xr:uid="{2C4217D5-9ECD-45BB-99A6-F4EE4B8869E7}"/>
    <hyperlink ref="E67" r:id="rId66" xr:uid="{DF39B81A-AF3B-4BF4-A4BF-859FF77C0D6C}"/>
    <hyperlink ref="E68" r:id="rId67" xr:uid="{B8BFB1DE-FAB6-4ED6-BA1C-065F97478925}"/>
    <hyperlink ref="E69" r:id="rId68" xr:uid="{4F658864-0252-4CE7-9128-071569945ADB}"/>
    <hyperlink ref="E70" r:id="rId69" xr:uid="{BD6EA3F0-FAE2-4480-8124-16E70C676639}"/>
    <hyperlink ref="E71" r:id="rId70" xr:uid="{5EA11C6A-B467-4844-AFF3-3DBF9B30175E}"/>
    <hyperlink ref="E72" r:id="rId71" xr:uid="{9D3C808C-965E-415B-BDF1-0A4CE4AEA86B}"/>
    <hyperlink ref="E73" r:id="rId72" xr:uid="{B7A0A97F-9679-4F12-9F71-CC799F5461BF}"/>
    <hyperlink ref="E74" r:id="rId73" xr:uid="{D9AE273E-5F5A-41B1-A37E-5FC1A414E556}"/>
    <hyperlink ref="E75" r:id="rId74" xr:uid="{18966FF9-F117-4F52-81F8-135EA0E73881}"/>
    <hyperlink ref="E76" r:id="rId75" xr:uid="{3078C442-DD18-44E6-B790-15289ABECD14}"/>
    <hyperlink ref="E77" r:id="rId76" xr:uid="{D3C297CE-FF7A-4380-BB5F-A106C866788D}"/>
    <hyperlink ref="E78" r:id="rId77" xr:uid="{A5C6127C-65CF-474E-AD65-470581E9F90B}"/>
    <hyperlink ref="E79" r:id="rId78" xr:uid="{EF6C0142-AE6F-46A5-8CC8-D5FEA02E1D98}"/>
    <hyperlink ref="E80" r:id="rId79" xr:uid="{16E4E4BB-302A-4D6E-B924-436EE4868CDE}"/>
    <hyperlink ref="E81" r:id="rId80" xr:uid="{DE3E80E1-40F2-4417-BDB8-FBCDE00413AA}"/>
  </hyperlinks>
  <pageMargins left="0.7" right="0.7" top="0.75" bottom="0.75" header="0.3" footer="0.3"/>
  <pageSetup orientation="portrait" r:id="rId8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3558D-30B2-485C-A5D0-165F8C2FD517}">
  <dimension ref="G6:I8"/>
  <sheetViews>
    <sheetView showGridLines="0" workbookViewId="0">
      <selection activeCell="H7" sqref="H7"/>
    </sheetView>
  </sheetViews>
  <sheetFormatPr defaultRowHeight="14.5" x14ac:dyDescent="0.35"/>
  <cols>
    <col min="7" max="7" width="18.90625" bestFit="1" customWidth="1"/>
    <col min="8" max="8" width="24.90625" bestFit="1" customWidth="1"/>
    <col min="9" max="9" width="19.6328125" customWidth="1"/>
  </cols>
  <sheetData>
    <row r="6" spans="7:9" ht="15.5" x14ac:dyDescent="0.35">
      <c r="G6" s="7" t="s">
        <v>7</v>
      </c>
      <c r="H6" s="7" t="s">
        <v>8</v>
      </c>
      <c r="I6" s="7" t="s">
        <v>9</v>
      </c>
    </row>
    <row r="7" spans="7:9" x14ac:dyDescent="0.35">
      <c r="G7" s="18" t="s">
        <v>163</v>
      </c>
      <c r="H7" s="18" t="str">
        <f>INDEX(BOTHTOGETHERDATA!$A$2:$G$82,MATCH(G7,BOTHTOGETHERDATA!$A$2:$A$82,0),2)</f>
        <v>MASKA PAVANI</v>
      </c>
      <c r="I7" s="18" t="str">
        <f>INDEX(BOTHTOGETHERDATA!$A$2:$G$82,MATCH(G7,BOTHTOGETHERDATA!$A$2:$A$82,0),3)</f>
        <v>ITES</v>
      </c>
    </row>
    <row r="8" spans="7:9" x14ac:dyDescent="0.35">
      <c r="H8" s="36">
        <f>MATCH(G7,BOTHTOGETHERDATA!$A$2:$A$82,0)</f>
        <v>36</v>
      </c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B11510D-04EA-47F9-98B2-C4FDFF6F3E71}">
          <x14:formula1>
            <xm:f>BOTHTOGETHERDATA!$A$2:$A$82</xm:f>
          </x14:formula1>
          <xm:sqref>G7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C9DE7-D293-4A7D-8EE5-58FD7B5A4856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Data</vt:lpstr>
      <vt:lpstr>VLOOKUP</vt:lpstr>
      <vt:lpstr>HData</vt:lpstr>
      <vt:lpstr>HLOOKUP</vt:lpstr>
      <vt:lpstr>INDEX</vt:lpstr>
      <vt:lpstr>MATCH</vt:lpstr>
      <vt:lpstr>BOTHTOGETHERDATA</vt:lpstr>
      <vt:lpstr>INDEXANDMATCH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Anudip1</cp:lastModifiedBy>
  <dcterms:created xsi:type="dcterms:W3CDTF">2026-03-02T10:37:56Z</dcterms:created>
  <dcterms:modified xsi:type="dcterms:W3CDTF">2026-03-03T12:09:17Z</dcterms:modified>
</cp:coreProperties>
</file>