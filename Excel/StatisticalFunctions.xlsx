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79617917-155D-481F-B6F9-72A03DB8358B}" xr6:coauthVersionLast="37" xr6:coauthVersionMax="37" xr10:uidLastSave="{00000000-0000-0000-0000-000000000000}"/>
  <bookViews>
    <workbookView xWindow="0" yWindow="0" windowWidth="9580" windowHeight="2940" activeTab="2" xr2:uid="{23DB7735-CDB3-468D-9324-4B3B557388EF}"/>
  </bookViews>
  <sheets>
    <sheet name="SUM|SUMIF|SUMIFS" sheetId="1" r:id="rId1"/>
    <sheet name="COUNT|COUNTA|COUNTIF|COUNTIFS" sheetId="2" r:id="rId2"/>
    <sheet name="AVERAGE|AVERAGEIF|AVERAGEIFS" sheetId="3" r:id="rId3"/>
  </sheets>
  <definedNames>
    <definedName name="City3">'AVERAGE|AVERAGEIF|AVERAGEIFS'!$A$2:$A$11</definedName>
    <definedName name="Division1">'SUM|SUMIF|SUMIFS'!$C$2:$C$11</definedName>
    <definedName name="DOJ1_">'SUM|SUMIF|SUMIFS'!$B$2:$B$11</definedName>
    <definedName name="Fruits1">'COUNT|COUNTA|COUNTIF|COUNTIFS'!$A$2:$A$11</definedName>
    <definedName name="Fruits3">'AVERAGE|AVERAGEIF|AVERAGEIFS'!$B$2:$B$11</definedName>
    <definedName name="Name1">'SUM|SUMIF|SUMIFS'!$A$2:$A$11</definedName>
    <definedName name="Quantity1">'COUNT|COUNTA|COUNTIF|COUNTIFS'!$B$2:$B$11</definedName>
    <definedName name="Quantity3">'AVERAGE|AVERAGEIF|AVERAGEIFS'!$C$2:$C$11</definedName>
    <definedName name="Salary1">'SUM|SUMIF|SUMIFS'!$D$2:$D$11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2" i="3" l="1"/>
  <c r="J12" i="3"/>
  <c r="I12" i="3"/>
  <c r="G14" i="3"/>
  <c r="G12" i="3"/>
  <c r="G10" i="3"/>
  <c r="G8" i="3"/>
  <c r="G6" i="3"/>
  <c r="G9" i="2"/>
  <c r="G11" i="2" l="1"/>
  <c r="G7" i="2"/>
  <c r="H5" i="2"/>
  <c r="H7" i="2"/>
  <c r="G5" i="2"/>
  <c r="I9" i="1"/>
  <c r="I5" i="1"/>
  <c r="I11" i="1"/>
  <c r="I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Anudip1</author>
  </authors>
  <commentList>
    <comment ref="G12" authorId="0" shapeId="0" xr:uid="{8D5613D0-BF14-4640-ADC4-72DFDE0E5B4F}">
      <text>
        <r>
          <rPr>
            <b/>
            <sz val="9"/>
            <color indexed="81"/>
            <rFont val="Tahoma"/>
            <family val="2"/>
          </rPr>
          <t>Anudip1:</t>
        </r>
        <r>
          <rPr>
            <sz val="9"/>
            <color indexed="81"/>
            <rFont val="Tahoma"/>
            <family val="2"/>
          </rPr>
          <t xml:space="preserve">
AVERAGEIFS() will not work when we want to apply multiple conditions on the same range
</t>
        </r>
      </text>
    </comment>
    <comment ref="H12" authorId="0" shapeId="0" xr:uid="{C589B54E-6C5F-490F-BE29-02AA7355C3C8}">
      <text>
        <r>
          <rPr>
            <b/>
            <sz val="9"/>
            <color indexed="81"/>
            <rFont val="Tahoma"/>
            <family val="2"/>
          </rPr>
          <t>Anudip1:</t>
        </r>
        <r>
          <rPr>
            <sz val="9"/>
            <color indexed="81"/>
            <rFont val="Tahoma"/>
            <family val="2"/>
          </rPr>
          <t xml:space="preserve">
This is the solution</t>
        </r>
      </text>
    </comment>
  </commentList>
</comments>
</file>

<file path=xl/sharedStrings.xml><?xml version="1.0" encoding="utf-8"?>
<sst xmlns="http://schemas.openxmlformats.org/spreadsheetml/2006/main" count="75" uniqueCount="55">
  <si>
    <t>Name1</t>
  </si>
  <si>
    <t>DOJ1</t>
  </si>
  <si>
    <t>Division1</t>
  </si>
  <si>
    <t>Salary1</t>
  </si>
  <si>
    <t>Aman Singh</t>
  </si>
  <si>
    <t>Admin</t>
  </si>
  <si>
    <t>Suprabh roshan</t>
  </si>
  <si>
    <t>Uttam Singh</t>
  </si>
  <si>
    <t>Finance</t>
  </si>
  <si>
    <t>Anand Mangnale</t>
  </si>
  <si>
    <t>Bhalerao</t>
  </si>
  <si>
    <t>Healthcare</t>
  </si>
  <si>
    <t>Rajesh Kumar</t>
  </si>
  <si>
    <t>Rahul Singh</t>
  </si>
  <si>
    <t>HR</t>
  </si>
  <si>
    <t>Sanjay Raut</t>
  </si>
  <si>
    <t>Manish Pandey</t>
  </si>
  <si>
    <t>Pravin Singh</t>
  </si>
  <si>
    <t>Marketing</t>
  </si>
  <si>
    <t xml:space="preserve">Total Salary </t>
  </si>
  <si>
    <t>Calculate the Total Salary Which is Greter than 20000</t>
  </si>
  <si>
    <t>Calculate The Salary of the Admin Department</t>
  </si>
  <si>
    <t>Calculate the salary of the Hr Department, the salary should be &gt;20000</t>
  </si>
  <si>
    <t>Fruits1</t>
  </si>
  <si>
    <t>Quantity1</t>
  </si>
  <si>
    <t>Apples</t>
  </si>
  <si>
    <t>Banana</t>
  </si>
  <si>
    <t>Coconut</t>
  </si>
  <si>
    <t>Oranges</t>
  </si>
  <si>
    <t>Count the Quantity</t>
  </si>
  <si>
    <t>Count the quantity &gt; 50</t>
  </si>
  <si>
    <t>Count the fruits</t>
  </si>
  <si>
    <t>Count The Quantity Between 60 and 80</t>
  </si>
  <si>
    <t>City3</t>
  </si>
  <si>
    <t>Fruits3</t>
  </si>
  <si>
    <t>Quantity3</t>
  </si>
  <si>
    <t>Raigad</t>
  </si>
  <si>
    <t>Ratnagiri</t>
  </si>
  <si>
    <t>Goa</t>
  </si>
  <si>
    <t>Sangli</t>
  </si>
  <si>
    <t>Satara</t>
  </si>
  <si>
    <t>Thane</t>
  </si>
  <si>
    <t>Wardha</t>
  </si>
  <si>
    <t>Washim</t>
  </si>
  <si>
    <t>Jack Fruit</t>
  </si>
  <si>
    <t>Pune</t>
  </si>
  <si>
    <t>Lemon</t>
  </si>
  <si>
    <t>What is the Average means.?</t>
  </si>
  <si>
    <t xml:space="preserve">Formula of th avg =&gt; </t>
  </si>
  <si>
    <t>sum of total values / total number of values</t>
  </si>
  <si>
    <t>Average of Quantity</t>
  </si>
  <si>
    <t>Average Quantity of Banana</t>
  </si>
  <si>
    <t>average of Quantity &gt; 60</t>
  </si>
  <si>
    <t>Average Quantity of Apples and Banana</t>
  </si>
  <si>
    <t>Average of Apples in Goa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</si>
</sst>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Segoe UI"/>
      <family val="2"/>
    </font>
    <font>
      <sz val="12"/>
      <color theme="1"/>
      <name val="Segoe UI"/>
      <family val="2"/>
    </font>
    <font>
      <sz val="10"/>
      <name val="Arial"/>
      <family val="2"/>
    </font>
    <font>
      <sz val="12"/>
      <name val="Segoe UI"/>
      <family val="2"/>
    </font>
    <font>
      <b/>
      <sz val="12"/>
      <color theme="0"/>
      <name val="Segoe U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rgb="FF00206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8">
    <xf numFmtId="0" fontId="0" fillId="0" borderId="0" xfId="0"/>
    <xf numFmtId="0" fontId="2" fillId="3" borderId="1" xfId="1" applyFont="1" applyFill="1" applyBorder="1" applyAlignment="1">
      <alignment horizontal="center" vertical="center"/>
    </xf>
    <xf numFmtId="15" fontId="3" fillId="0" borderId="1" xfId="0" applyNumberFormat="1" applyFont="1" applyBorder="1" applyAlignment="1">
      <alignment horizontal="center"/>
    </xf>
    <xf numFmtId="0" fontId="0" fillId="0" borderId="0" xfId="0" applyAlignment="1"/>
    <xf numFmtId="0" fontId="3" fillId="0" borderId="1" xfId="0" applyFont="1" applyBorder="1" applyAlignment="1"/>
    <xf numFmtId="43" fontId="5" fillId="0" borderId="1" xfId="2" applyFont="1" applyBorder="1" applyAlignment="1" applyProtection="1">
      <alignment horizontal="center" vertical="top"/>
    </xf>
    <xf numFmtId="0" fontId="5" fillId="0" borderId="1" xfId="3" applyNumberFormat="1" applyFont="1" applyBorder="1" applyAlignment="1" applyProtection="1">
      <alignment horizontal="center" vertical="top"/>
    </xf>
    <xf numFmtId="0" fontId="0" fillId="4" borderId="1" xfId="0" applyFill="1" applyBorder="1" applyAlignment="1"/>
    <xf numFmtId="0" fontId="0" fillId="0" borderId="1" xfId="0" applyBorder="1" applyAlignment="1"/>
    <xf numFmtId="0" fontId="6" fillId="3" borderId="0" xfId="1" applyFont="1" applyFill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6" fillId="3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wrapText="1"/>
    </xf>
    <xf numFmtId="0" fontId="5" fillId="0" borderId="2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</cellXfs>
  <cellStyles count="4">
    <cellStyle name="Accent5" xfId="1" builtinId="45"/>
    <cellStyle name="Comma 2" xfId="3" xr:uid="{2A9F4194-CF91-490C-976F-0A2F7A18DCEB}"/>
    <cellStyle name="Comma 4 2" xfId="2" xr:uid="{2B62593F-6789-4B50-977C-5BD1C1790CD2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E192E-F8C9-407F-B4DC-61E8BB09E545}">
  <dimension ref="A1:I11"/>
  <sheetViews>
    <sheetView workbookViewId="0">
      <selection activeCell="H13" sqref="H13"/>
    </sheetView>
  </sheetViews>
  <sheetFormatPr defaultRowHeight="14.5" x14ac:dyDescent="0.35"/>
  <cols>
    <col min="1" max="1" width="17.81640625" style="3" bestFit="1" customWidth="1"/>
    <col min="2" max="2" width="11.453125" style="3" bestFit="1" customWidth="1"/>
    <col min="3" max="3" width="12.6328125" style="3" bestFit="1" customWidth="1"/>
    <col min="4" max="4" width="15.1796875" style="3" customWidth="1"/>
    <col min="5" max="7" width="8.7265625" style="3"/>
    <col min="8" max="8" width="60.453125" style="3" bestFit="1" customWidth="1"/>
    <col min="9" max="16384" width="8.7265625" style="3"/>
  </cols>
  <sheetData>
    <row r="1" spans="1:9" ht="17.5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9" ht="17.5" x14ac:dyDescent="0.45">
      <c r="A2" s="4" t="s">
        <v>4</v>
      </c>
      <c r="B2" s="2">
        <v>44442</v>
      </c>
      <c r="C2" s="5" t="s">
        <v>5</v>
      </c>
      <c r="D2" s="6">
        <v>15000</v>
      </c>
    </row>
    <row r="3" spans="1:9" ht="17.5" x14ac:dyDescent="0.45">
      <c r="A3" s="4" t="s">
        <v>6</v>
      </c>
      <c r="B3" s="2">
        <v>43906</v>
      </c>
      <c r="C3" s="5" t="s">
        <v>5</v>
      </c>
      <c r="D3" s="6">
        <v>21000</v>
      </c>
    </row>
    <row r="4" spans="1:9" ht="17.5" x14ac:dyDescent="0.45">
      <c r="A4" s="4" t="s">
        <v>7</v>
      </c>
      <c r="B4" s="2">
        <v>44485</v>
      </c>
      <c r="C4" s="5" t="s">
        <v>8</v>
      </c>
      <c r="D4" s="6">
        <v>14000</v>
      </c>
    </row>
    <row r="5" spans="1:9" ht="17.5" x14ac:dyDescent="0.45">
      <c r="A5" s="4" t="s">
        <v>9</v>
      </c>
      <c r="B5" s="2">
        <v>44298</v>
      </c>
      <c r="C5" s="5" t="s">
        <v>8</v>
      </c>
      <c r="D5" s="6">
        <v>30000</v>
      </c>
      <c r="H5" s="7" t="s">
        <v>19</v>
      </c>
      <c r="I5" s="8">
        <f>SUM(Salary1)</f>
        <v>233000</v>
      </c>
    </row>
    <row r="6" spans="1:9" ht="17.5" x14ac:dyDescent="0.45">
      <c r="A6" s="4" t="s">
        <v>10</v>
      </c>
      <c r="B6" s="2">
        <v>43890</v>
      </c>
      <c r="C6" s="5" t="s">
        <v>11</v>
      </c>
      <c r="D6" s="6">
        <v>17000</v>
      </c>
    </row>
    <row r="7" spans="1:9" ht="17.5" x14ac:dyDescent="0.45">
      <c r="A7" s="4" t="s">
        <v>12</v>
      </c>
      <c r="B7" s="2">
        <v>44051</v>
      </c>
      <c r="C7" s="5" t="s">
        <v>11</v>
      </c>
      <c r="D7" s="6">
        <v>25000</v>
      </c>
      <c r="H7" s="7" t="s">
        <v>20</v>
      </c>
      <c r="I7" s="8">
        <f>SUMIF(Salary1,"&gt;20000",Salary1)</f>
        <v>154000</v>
      </c>
    </row>
    <row r="8" spans="1:9" ht="17.5" x14ac:dyDescent="0.45">
      <c r="A8" s="4" t="s">
        <v>13</v>
      </c>
      <c r="B8" s="2">
        <v>43863</v>
      </c>
      <c r="C8" s="5" t="s">
        <v>14</v>
      </c>
      <c r="D8" s="6">
        <v>50000</v>
      </c>
    </row>
    <row r="9" spans="1:9" ht="17.5" x14ac:dyDescent="0.45">
      <c r="A9" s="4" t="s">
        <v>15</v>
      </c>
      <c r="B9" s="2">
        <v>44461</v>
      </c>
      <c r="C9" s="5" t="s">
        <v>14</v>
      </c>
      <c r="D9" s="6">
        <v>28000</v>
      </c>
      <c r="H9" s="7" t="s">
        <v>21</v>
      </c>
      <c r="I9" s="8">
        <f>SUMIF(Division1,"Admin",Salary1)</f>
        <v>36000</v>
      </c>
    </row>
    <row r="10" spans="1:9" ht="17.5" x14ac:dyDescent="0.45">
      <c r="A10" s="4" t="s">
        <v>16</v>
      </c>
      <c r="B10" s="2">
        <v>44491</v>
      </c>
      <c r="C10" s="5" t="s">
        <v>14</v>
      </c>
      <c r="D10" s="6">
        <v>19000</v>
      </c>
    </row>
    <row r="11" spans="1:9" ht="17.5" x14ac:dyDescent="0.45">
      <c r="A11" s="4" t="s">
        <v>17</v>
      </c>
      <c r="B11" s="2">
        <v>44313</v>
      </c>
      <c r="C11" s="5" t="s">
        <v>18</v>
      </c>
      <c r="D11" s="6">
        <v>14000</v>
      </c>
      <c r="H11" s="7" t="s">
        <v>22</v>
      </c>
      <c r="I11" s="8">
        <f>SUMIFS(Salary1,Division1,"HR",Salary1,"&gt;20000")</f>
        <v>78000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73A1D-101D-4C43-8C0D-3791C1F56692}">
  <dimension ref="A1:H11"/>
  <sheetViews>
    <sheetView workbookViewId="0">
      <selection activeCell="G11" sqref="G11"/>
    </sheetView>
  </sheetViews>
  <sheetFormatPr defaultRowHeight="14.5" x14ac:dyDescent="0.35"/>
  <cols>
    <col min="1" max="1" width="12.26953125" style="3" customWidth="1"/>
    <col min="2" max="2" width="11.26953125" style="3" bestFit="1" customWidth="1"/>
    <col min="3" max="5" width="8.7265625" style="3"/>
    <col min="6" max="6" width="33.81640625" style="3" bestFit="1" customWidth="1"/>
    <col min="7" max="7" width="12" style="3" customWidth="1"/>
    <col min="8" max="16384" width="8.7265625" style="3"/>
  </cols>
  <sheetData>
    <row r="1" spans="1:8" ht="17.5" x14ac:dyDescent="0.35">
      <c r="A1" s="9" t="s">
        <v>23</v>
      </c>
      <c r="B1" s="9" t="s">
        <v>24</v>
      </c>
    </row>
    <row r="2" spans="1:8" ht="17.5" x14ac:dyDescent="0.45">
      <c r="A2" s="4" t="s">
        <v>25</v>
      </c>
      <c r="B2" s="10">
        <v>99</v>
      </c>
    </row>
    <row r="3" spans="1:8" ht="17.5" x14ac:dyDescent="0.45">
      <c r="A3" s="4" t="s">
        <v>26</v>
      </c>
      <c r="B3" s="10">
        <v>80</v>
      </c>
    </row>
    <row r="4" spans="1:8" ht="17.5" x14ac:dyDescent="0.45">
      <c r="A4" s="4" t="s">
        <v>26</v>
      </c>
      <c r="B4" s="10">
        <v>76</v>
      </c>
    </row>
    <row r="5" spans="1:8" ht="17.5" x14ac:dyDescent="0.45">
      <c r="A5" s="4" t="s">
        <v>27</v>
      </c>
      <c r="B5" s="10">
        <v>76</v>
      </c>
      <c r="F5" s="13" t="s">
        <v>29</v>
      </c>
      <c r="G5" s="12">
        <f>COUNT(Quantity1)</f>
        <v>10</v>
      </c>
      <c r="H5" s="12">
        <f>COUNTA(Quantity1)</f>
        <v>10</v>
      </c>
    </row>
    <row r="6" spans="1:8" ht="17.5" x14ac:dyDescent="0.45">
      <c r="A6" s="4" t="s">
        <v>25</v>
      </c>
      <c r="B6" s="11">
        <v>68</v>
      </c>
      <c r="F6" s="12"/>
      <c r="G6" s="12"/>
      <c r="H6" s="12"/>
    </row>
    <row r="7" spans="1:8" ht="17.5" x14ac:dyDescent="0.45">
      <c r="A7" s="4" t="s">
        <v>28</v>
      </c>
      <c r="B7" s="11">
        <v>49</v>
      </c>
      <c r="F7" s="13" t="s">
        <v>31</v>
      </c>
      <c r="G7" s="12">
        <f>COUNTA(Fruits1)</f>
        <v>10</v>
      </c>
      <c r="H7" s="12">
        <f>COUNT(Fruits1)</f>
        <v>0</v>
      </c>
    </row>
    <row r="8" spans="1:8" ht="17.5" x14ac:dyDescent="0.45">
      <c r="A8" s="4" t="s">
        <v>25</v>
      </c>
      <c r="B8" s="10">
        <v>48</v>
      </c>
      <c r="F8" s="12"/>
      <c r="G8" s="12"/>
      <c r="H8" s="12"/>
    </row>
    <row r="9" spans="1:8" ht="17.5" x14ac:dyDescent="0.45">
      <c r="A9" s="4" t="s">
        <v>25</v>
      </c>
      <c r="B9" s="11">
        <v>80</v>
      </c>
      <c r="F9" s="13" t="s">
        <v>30</v>
      </c>
      <c r="G9" s="12">
        <f>COUNTIF(Quantity1,"&gt;50")</f>
        <v>7</v>
      </c>
      <c r="H9" s="12"/>
    </row>
    <row r="10" spans="1:8" ht="17.5" x14ac:dyDescent="0.45">
      <c r="A10" s="4" t="s">
        <v>28</v>
      </c>
      <c r="B10" s="11">
        <v>99</v>
      </c>
      <c r="F10" s="12"/>
      <c r="G10" s="12"/>
      <c r="H10" s="12"/>
    </row>
    <row r="11" spans="1:8" ht="17.5" x14ac:dyDescent="0.45">
      <c r="A11" s="4" t="s">
        <v>28</v>
      </c>
      <c r="B11" s="10">
        <v>15</v>
      </c>
      <c r="F11" s="13" t="s">
        <v>32</v>
      </c>
      <c r="G11" s="12">
        <f>COUNTIFS(Quantity1,"&gt;=60",Quantity1,"&lt;=80")</f>
        <v>5</v>
      </c>
      <c r="H11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67660-EF03-4E8C-A64A-8BDD53E012C8}">
  <dimension ref="A1:J14"/>
  <sheetViews>
    <sheetView tabSelected="1" topLeftCell="B1" workbookViewId="0">
      <selection activeCell="H9" sqref="H9"/>
    </sheetView>
  </sheetViews>
  <sheetFormatPr defaultRowHeight="14.5" x14ac:dyDescent="0.35"/>
  <cols>
    <col min="1" max="1" width="12.90625" style="15" customWidth="1"/>
    <col min="2" max="2" width="13.36328125" style="15" customWidth="1"/>
    <col min="3" max="3" width="14.90625" style="15" customWidth="1"/>
    <col min="4" max="5" width="8.7265625" style="15"/>
    <col min="6" max="6" width="39.26953125" style="15" customWidth="1"/>
    <col min="7" max="7" width="37.7265625" style="15" bestFit="1" customWidth="1"/>
    <col min="8" max="8" width="25.26953125" style="15" customWidth="1"/>
    <col min="9" max="16384" width="8.7265625" style="15"/>
  </cols>
  <sheetData>
    <row r="1" spans="1:10" ht="17.5" x14ac:dyDescent="0.35">
      <c r="A1" s="14" t="s">
        <v>33</v>
      </c>
      <c r="B1" s="14" t="s">
        <v>34</v>
      </c>
      <c r="C1" s="14" t="s">
        <v>35</v>
      </c>
    </row>
    <row r="2" spans="1:10" ht="17.5" x14ac:dyDescent="0.45">
      <c r="A2" s="16" t="s">
        <v>36</v>
      </c>
      <c r="B2" s="16" t="s">
        <v>28</v>
      </c>
      <c r="C2" s="17">
        <v>15</v>
      </c>
    </row>
    <row r="3" spans="1:10" ht="17.5" x14ac:dyDescent="0.45">
      <c r="A3" s="16" t="s">
        <v>37</v>
      </c>
      <c r="B3" s="16" t="s">
        <v>28</v>
      </c>
      <c r="C3" s="18">
        <v>23</v>
      </c>
      <c r="F3" s="22" t="s">
        <v>47</v>
      </c>
      <c r="G3" s="19"/>
    </row>
    <row r="4" spans="1:10" ht="17.5" x14ac:dyDescent="0.45">
      <c r="A4" s="16" t="s">
        <v>38</v>
      </c>
      <c r="B4" s="16" t="s">
        <v>25</v>
      </c>
      <c r="C4" s="18">
        <v>40</v>
      </c>
      <c r="F4" s="23" t="s">
        <v>48</v>
      </c>
      <c r="G4" s="25" t="s">
        <v>49</v>
      </c>
    </row>
    <row r="5" spans="1:10" ht="17.5" x14ac:dyDescent="0.45">
      <c r="A5" s="16" t="s">
        <v>39</v>
      </c>
      <c r="B5" s="16" t="s">
        <v>28</v>
      </c>
      <c r="C5" s="18">
        <v>50</v>
      </c>
      <c r="F5" s="21"/>
      <c r="G5" s="19"/>
    </row>
    <row r="6" spans="1:10" ht="17.5" x14ac:dyDescent="0.45">
      <c r="A6" s="16" t="s">
        <v>40</v>
      </c>
      <c r="B6" s="16" t="s">
        <v>28</v>
      </c>
      <c r="C6" s="17">
        <v>50</v>
      </c>
      <c r="F6" s="23" t="s">
        <v>50</v>
      </c>
      <c r="G6" s="25">
        <f>AVERAGE(Quantity3)</f>
        <v>57.7</v>
      </c>
    </row>
    <row r="7" spans="1:10" ht="17.5" x14ac:dyDescent="0.45">
      <c r="A7" s="16" t="s">
        <v>38</v>
      </c>
      <c r="B7" s="16" t="s">
        <v>28</v>
      </c>
      <c r="C7" s="18">
        <v>68</v>
      </c>
      <c r="F7" s="21"/>
      <c r="G7" s="19"/>
    </row>
    <row r="8" spans="1:10" ht="17.5" x14ac:dyDescent="0.45">
      <c r="A8" s="16" t="s">
        <v>41</v>
      </c>
      <c r="B8" s="16" t="s">
        <v>26</v>
      </c>
      <c r="C8" s="17">
        <v>76</v>
      </c>
      <c r="F8" s="23" t="s">
        <v>51</v>
      </c>
      <c r="G8" s="25">
        <f>AVERAGEIF(Fruits3,"Banana",Quantity3)</f>
        <v>76</v>
      </c>
    </row>
    <row r="9" spans="1:10" ht="17.5" x14ac:dyDescent="0.45">
      <c r="A9" s="16" t="s">
        <v>42</v>
      </c>
      <c r="B9" s="16" t="s">
        <v>27</v>
      </c>
      <c r="C9" s="17">
        <v>76</v>
      </c>
      <c r="F9" s="20"/>
    </row>
    <row r="10" spans="1:10" ht="17.5" x14ac:dyDescent="0.45">
      <c r="A10" s="16" t="s">
        <v>43</v>
      </c>
      <c r="B10" s="16" t="s">
        <v>44</v>
      </c>
      <c r="C10" s="17">
        <v>80</v>
      </c>
      <c r="F10" s="24" t="s">
        <v>52</v>
      </c>
      <c r="G10" s="26">
        <f>AVERAGEIF(Quantity3,"&gt;60",Quantity3)</f>
        <v>79.8</v>
      </c>
    </row>
    <row r="11" spans="1:10" ht="17.5" x14ac:dyDescent="0.45">
      <c r="A11" s="16" t="s">
        <v>45</v>
      </c>
      <c r="B11" s="16" t="s">
        <v>46</v>
      </c>
      <c r="C11" s="17">
        <v>99</v>
      </c>
      <c r="F11" s="20"/>
    </row>
    <row r="12" spans="1:10" x14ac:dyDescent="0.35">
      <c r="F12" s="23" t="s">
        <v>53</v>
      </c>
      <c r="G12" s="27" t="e">
        <f>AVERAGEIFS(Quantity3,Fruits3,"Apples",Fruits3,"Banana")</f>
        <v>#DIV/0!</v>
      </c>
      <c r="H12" s="26">
        <f>(AVERAGEIF(Fruits3,"Apples",Quantity3)+AVERAGEIF(Fruits3,"Banana",Quantity3))/2</f>
        <v>58</v>
      </c>
      <c r="I12" s="19">
        <f>(SUMIF(Fruits3,"Banana",Quantity3)+SUMIF(Fruits3,"Apples",Quantity3))/2</f>
        <v>58</v>
      </c>
      <c r="J12" s="19">
        <f>AVERAGE(SUMIF(Fruits3,"Banana",Quantity3),SUMIF(Fruits3,"Apples",Quantity3))</f>
        <v>58</v>
      </c>
    </row>
    <row r="13" spans="1:10" x14ac:dyDescent="0.35">
      <c r="F13" s="20"/>
    </row>
    <row r="14" spans="1:10" x14ac:dyDescent="0.35">
      <c r="F14" s="24" t="s">
        <v>54</v>
      </c>
      <c r="G14" s="25">
        <f>AVERAGEIFS(Quantity3,City3,"Goa",Fruits3,"Apples")</f>
        <v>40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9</vt:i4>
      </vt:variant>
    </vt:vector>
  </HeadingPairs>
  <TitlesOfParts>
    <vt:vector size="12" baseType="lpstr">
      <vt:lpstr>SUM|SUMIF|SUMIFS</vt:lpstr>
      <vt:lpstr>COUNT|COUNTA|COUNTIF|COUNTIFS</vt:lpstr>
      <vt:lpstr>AVERAGE|AVERAGEIF|AVERAGEIFS</vt:lpstr>
      <vt:lpstr>City3</vt:lpstr>
      <vt:lpstr>Division1</vt:lpstr>
      <vt:lpstr>DOJ1_</vt:lpstr>
      <vt:lpstr>Fruits1</vt:lpstr>
      <vt:lpstr>Fruits3</vt:lpstr>
      <vt:lpstr>Name1</vt:lpstr>
      <vt:lpstr>Quantity1</vt:lpstr>
      <vt:lpstr>Quantity3</vt:lpstr>
      <vt:lpstr>Salary1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2026-02-27T11:28:09Z</dcterms:created>
  <dcterms:modified xsi:type="dcterms:W3CDTF">2026-02-28T05:27:27Z</dcterms:modified>
</cp:coreProperties>
</file>