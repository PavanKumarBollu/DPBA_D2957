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A0E52F8D-CFEE-48B3-979D-9A1C01AA77D4}" xr6:coauthVersionLast="37" xr6:coauthVersionMax="37" xr10:uidLastSave="{00000000-0000-0000-0000-000000000000}"/>
  <bookViews>
    <workbookView xWindow="0" yWindow="0" windowWidth="9580" windowHeight="2940" activeTab="1" xr2:uid="{23DB7735-CDB3-468D-9324-4B3B557388EF}"/>
  </bookViews>
  <sheets>
    <sheet name="SUM|SUMIF|SUMIFS" sheetId="1" r:id="rId1"/>
    <sheet name="COUNT|COUNTA|COUNTIF|COUNTIFS" sheetId="2" r:id="rId2"/>
  </sheets>
  <definedNames>
    <definedName name="Division1">'SUM|SUMIF|SUMIFS'!$C$2:$C$11</definedName>
    <definedName name="DOJ1_">'SUM|SUMIF|SUMIFS'!$B$2:$B$11</definedName>
    <definedName name="Fruits1">'COUNT|COUNTA|COUNTIF|COUNTIFS'!$A$2:$A$11</definedName>
    <definedName name="Name1">'SUM|SUMIF|SUMIFS'!$A$2:$A$11</definedName>
    <definedName name="Quantity1">'COUNT|COUNTA|COUNTIF|COUNTIFS'!$B$2:$B$11</definedName>
    <definedName name="Salary1">'SUM|SUMIF|SUMIFS'!$D$2:$D$11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G9" i="2"/>
  <c r="G7" i="2"/>
  <c r="H5" i="2"/>
  <c r="H7" i="2"/>
  <c r="G5" i="2"/>
  <c r="I9" i="1"/>
  <c r="I5" i="1"/>
  <c r="I11" i="1"/>
  <c r="I7" i="1"/>
</calcChain>
</file>

<file path=xl/sharedStrings.xml><?xml version="1.0" encoding="utf-8"?>
<sst xmlns="http://schemas.openxmlformats.org/spreadsheetml/2006/main" count="108" uniqueCount="33">
  <si>
    <t>Name1</t>
  </si>
  <si>
    <t>DOJ1</t>
  </si>
  <si>
    <t>Division1</t>
  </si>
  <si>
    <t>Salary1</t>
  </si>
  <si>
    <t>Aman Singh</t>
  </si>
  <si>
    <t>Admin</t>
  </si>
  <si>
    <t>Suprabh roshan</t>
  </si>
  <si>
    <t>Uttam Singh</t>
  </si>
  <si>
    <t>Finance</t>
  </si>
  <si>
    <t>Anand Mangnale</t>
  </si>
  <si>
    <t>Bhalerao</t>
  </si>
  <si>
    <t>Healthcare</t>
  </si>
  <si>
    <t>Rajesh Kumar</t>
  </si>
  <si>
    <t>Rahul Singh</t>
  </si>
  <si>
    <t>HR</t>
  </si>
  <si>
    <t>Sanjay Raut</t>
  </si>
  <si>
    <t>Manish Pandey</t>
  </si>
  <si>
    <t>Pravin Singh</t>
  </si>
  <si>
    <t>Marketing</t>
  </si>
  <si>
    <t xml:space="preserve">Total Salary </t>
  </si>
  <si>
    <t>Calculate the Total Salary Which is Greter than 20000</t>
  </si>
  <si>
    <t>Calculate The Salary of the Admin Department</t>
  </si>
  <si>
    <t>Calculate the salary of the Hr Department, the salary should be &gt;20000</t>
  </si>
  <si>
    <t>Fruits1</t>
  </si>
  <si>
    <t>Quantity1</t>
  </si>
  <si>
    <t>Apples</t>
  </si>
  <si>
    <t>Banana</t>
  </si>
  <si>
    <t>Coconut</t>
  </si>
  <si>
    <t>Oranges</t>
  </si>
  <si>
    <t>Count the Quantity</t>
  </si>
  <si>
    <t>Count the quantity &gt; 50</t>
  </si>
  <si>
    <t>Count the fruits</t>
  </si>
  <si>
    <t>Count The Quantity Between 60 and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</si>
</sst>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Segoe UI"/>
      <family val="2"/>
    </font>
    <font>
      <sz val="12"/>
      <color theme="1"/>
      <name val="Segoe UI"/>
      <family val="2"/>
    </font>
    <font>
      <sz val="10"/>
      <name val="Arial"/>
      <family val="2"/>
    </font>
    <font>
      <sz val="12"/>
      <name val="Segoe UI"/>
      <family val="2"/>
    </font>
    <font>
      <b/>
      <sz val="12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4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/>
    </xf>
    <xf numFmtId="0" fontId="0" fillId="0" borderId="0" xfId="0" applyAlignment="1"/>
    <xf numFmtId="0" fontId="3" fillId="0" borderId="1" xfId="0" applyFont="1" applyBorder="1" applyAlignment="1"/>
    <xf numFmtId="43" fontId="5" fillId="0" borderId="1" xfId="2" applyFont="1" applyBorder="1" applyAlignment="1" applyProtection="1">
      <alignment horizontal="center" vertical="top"/>
    </xf>
    <xf numFmtId="0" fontId="5" fillId="0" borderId="1" xfId="3" applyNumberFormat="1" applyFont="1" applyBorder="1" applyAlignment="1" applyProtection="1">
      <alignment horizontal="center" vertical="top"/>
    </xf>
    <xf numFmtId="0" fontId="0" fillId="4" borderId="1" xfId="0" applyFill="1" applyBorder="1" applyAlignment="1"/>
    <xf numFmtId="0" fontId="0" fillId="0" borderId="1" xfId="0" applyBorder="1" applyAlignment="1"/>
    <xf numFmtId="0" fontId="6" fillId="3" borderId="0" xfId="1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Accent5" xfId="1" builtinId="45"/>
    <cellStyle name="Comma 2" xfId="3" xr:uid="{2A9F4194-CF91-490C-976F-0A2F7A18DCEB}"/>
    <cellStyle name="Comma 4 2" xfId="2" xr:uid="{2B62593F-6789-4B50-977C-5BD1C1790CD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192E-F8C9-407F-B4DC-61E8BB09E545}">
  <dimension ref="A1:I11"/>
  <sheetViews>
    <sheetView workbookViewId="0">
      <selection activeCell="H13" sqref="H13"/>
    </sheetView>
  </sheetViews>
  <sheetFormatPr defaultRowHeight="14.5" x14ac:dyDescent="0.35"/>
  <cols>
    <col min="1" max="1" width="17.81640625" style="3" bestFit="1" customWidth="1"/>
    <col min="2" max="2" width="11.453125" style="3" bestFit="1" customWidth="1"/>
    <col min="3" max="3" width="12.6328125" style="3" bestFit="1" customWidth="1"/>
    <col min="4" max="4" width="15.1796875" style="3" customWidth="1"/>
    <col min="5" max="7" width="8.7265625" style="3"/>
    <col min="8" max="8" width="60.453125" style="3" bestFit="1" customWidth="1"/>
    <col min="9" max="16384" width="8.7265625" style="3"/>
  </cols>
  <sheetData>
    <row r="1" spans="1:9" ht="17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9" ht="17.5" x14ac:dyDescent="0.45">
      <c r="A2" s="4" t="s">
        <v>4</v>
      </c>
      <c r="B2" s="2">
        <v>44442</v>
      </c>
      <c r="C2" s="5" t="s">
        <v>5</v>
      </c>
      <c r="D2" s="6">
        <v>15000</v>
      </c>
    </row>
    <row r="3" spans="1:9" ht="17.5" x14ac:dyDescent="0.45">
      <c r="A3" s="4" t="s">
        <v>6</v>
      </c>
      <c r="B3" s="2">
        <v>43906</v>
      </c>
      <c r="C3" s="5" t="s">
        <v>5</v>
      </c>
      <c r="D3" s="6">
        <v>21000</v>
      </c>
    </row>
    <row r="4" spans="1:9" ht="17.5" x14ac:dyDescent="0.45">
      <c r="A4" s="4" t="s">
        <v>7</v>
      </c>
      <c r="B4" s="2">
        <v>44485</v>
      </c>
      <c r="C4" s="5" t="s">
        <v>8</v>
      </c>
      <c r="D4" s="6">
        <v>14000</v>
      </c>
    </row>
    <row r="5" spans="1:9" ht="17.5" x14ac:dyDescent="0.45">
      <c r="A5" s="4" t="s">
        <v>9</v>
      </c>
      <c r="B5" s="2">
        <v>44298</v>
      </c>
      <c r="C5" s="5" t="s">
        <v>8</v>
      </c>
      <c r="D5" s="6">
        <v>30000</v>
      </c>
      <c r="H5" s="7" t="s">
        <v>19</v>
      </c>
      <c r="I5" s="8">
        <f>SUM(Salary1)</f>
        <v>233000</v>
      </c>
    </row>
    <row r="6" spans="1:9" ht="17.5" x14ac:dyDescent="0.45">
      <c r="A6" s="4" t="s">
        <v>10</v>
      </c>
      <c r="B6" s="2">
        <v>43890</v>
      </c>
      <c r="C6" s="5" t="s">
        <v>11</v>
      </c>
      <c r="D6" s="6">
        <v>17000</v>
      </c>
    </row>
    <row r="7" spans="1:9" ht="17.5" x14ac:dyDescent="0.45">
      <c r="A7" s="4" t="s">
        <v>12</v>
      </c>
      <c r="B7" s="2">
        <v>44051</v>
      </c>
      <c r="C7" s="5" t="s">
        <v>11</v>
      </c>
      <c r="D7" s="6">
        <v>25000</v>
      </c>
      <c r="H7" s="7" t="s">
        <v>20</v>
      </c>
      <c r="I7" s="8">
        <f>SUMIF(Salary1,"&gt;20000",Salary1)</f>
        <v>154000</v>
      </c>
    </row>
    <row r="8" spans="1:9" ht="17.5" x14ac:dyDescent="0.45">
      <c r="A8" s="4" t="s">
        <v>13</v>
      </c>
      <c r="B8" s="2">
        <v>43863</v>
      </c>
      <c r="C8" s="5" t="s">
        <v>14</v>
      </c>
      <c r="D8" s="6">
        <v>50000</v>
      </c>
    </row>
    <row r="9" spans="1:9" ht="17.5" x14ac:dyDescent="0.45">
      <c r="A9" s="4" t="s">
        <v>15</v>
      </c>
      <c r="B9" s="2">
        <v>44461</v>
      </c>
      <c r="C9" s="5" t="s">
        <v>14</v>
      </c>
      <c r="D9" s="6">
        <v>28000</v>
      </c>
      <c r="H9" s="7" t="s">
        <v>21</v>
      </c>
      <c r="I9" s="8">
        <f>SUMIF(Division1,"Admin",Salary1)</f>
        <v>36000</v>
      </c>
    </row>
    <row r="10" spans="1:9" ht="17.5" x14ac:dyDescent="0.45">
      <c r="A10" s="4" t="s">
        <v>16</v>
      </c>
      <c r="B10" s="2">
        <v>44491</v>
      </c>
      <c r="C10" s="5" t="s">
        <v>14</v>
      </c>
      <c r="D10" s="6">
        <v>19000</v>
      </c>
    </row>
    <row r="11" spans="1:9" ht="17.5" x14ac:dyDescent="0.45">
      <c r="A11" s="4" t="s">
        <v>17</v>
      </c>
      <c r="B11" s="2">
        <v>44313</v>
      </c>
      <c r="C11" s="5" t="s">
        <v>18</v>
      </c>
      <c r="D11" s="6">
        <v>14000</v>
      </c>
      <c r="H11" s="7" t="s">
        <v>22</v>
      </c>
      <c r="I11" s="8">
        <f>SUMIFS(Salary1,Division1,"HR",Salary1,"&gt;20000")</f>
        <v>78000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3A1D-101D-4C43-8C0D-3791C1F56692}">
  <dimension ref="A1:H11"/>
  <sheetViews>
    <sheetView tabSelected="1" workbookViewId="0">
      <selection activeCell="F11" activeCellId="3" sqref="F5 F7 F9 F11"/>
    </sheetView>
  </sheetViews>
  <sheetFormatPr defaultRowHeight="14.5" x14ac:dyDescent="0.35"/>
  <cols>
    <col min="1" max="1" width="12.26953125" style="3" customWidth="1"/>
    <col min="2" max="2" width="11.26953125" style="3" bestFit="1" customWidth="1"/>
    <col min="3" max="5" width="8.7265625" style="3"/>
    <col min="6" max="6" width="33.81640625" style="3" bestFit="1" customWidth="1"/>
    <col min="7" max="7" width="12" style="3" customWidth="1"/>
    <col min="8" max="16384" width="8.7265625" style="3"/>
  </cols>
  <sheetData>
    <row r="1" spans="1:8" ht="17.5" x14ac:dyDescent="0.35">
      <c r="A1" s="9" t="s">
        <v>23</v>
      </c>
      <c r="B1" s="9" t="s">
        <v>24</v>
      </c>
    </row>
    <row r="2" spans="1:8" ht="17.5" x14ac:dyDescent="0.45">
      <c r="A2" s="4" t="s">
        <v>25</v>
      </c>
      <c r="B2" s="10">
        <v>99</v>
      </c>
    </row>
    <row r="3" spans="1:8" ht="17.5" x14ac:dyDescent="0.45">
      <c r="A3" s="4" t="s">
        <v>26</v>
      </c>
      <c r="B3" s="10">
        <v>80</v>
      </c>
    </row>
    <row r="4" spans="1:8" ht="17.5" x14ac:dyDescent="0.45">
      <c r="A4" s="4" t="s">
        <v>26</v>
      </c>
      <c r="B4" s="10">
        <v>76</v>
      </c>
    </row>
    <row r="5" spans="1:8" ht="17.5" x14ac:dyDescent="0.45">
      <c r="A5" s="4" t="s">
        <v>27</v>
      </c>
      <c r="B5" s="10">
        <v>76</v>
      </c>
      <c r="F5" s="13" t="s">
        <v>29</v>
      </c>
      <c r="G5" s="12">
        <f>COUNT(Quantity1)</f>
        <v>10</v>
      </c>
      <c r="H5" s="12">
        <f>COUNTA(Quantity1)</f>
        <v>10</v>
      </c>
    </row>
    <row r="6" spans="1:8" ht="17.5" x14ac:dyDescent="0.45">
      <c r="A6" s="4" t="s">
        <v>25</v>
      </c>
      <c r="B6" s="11">
        <v>68</v>
      </c>
      <c r="F6" s="12"/>
      <c r="G6" s="12"/>
      <c r="H6" s="12"/>
    </row>
    <row r="7" spans="1:8" ht="17.5" x14ac:dyDescent="0.45">
      <c r="A7" s="4" t="s">
        <v>28</v>
      </c>
      <c r="B7" s="11">
        <v>49</v>
      </c>
      <c r="F7" s="13" t="s">
        <v>31</v>
      </c>
      <c r="G7" s="12">
        <f>COUNTA(Fruits1)</f>
        <v>10</v>
      </c>
      <c r="H7" s="12">
        <f>COUNT(Fruits1)</f>
        <v>0</v>
      </c>
    </row>
    <row r="8" spans="1:8" ht="17.5" x14ac:dyDescent="0.45">
      <c r="A8" s="4" t="s">
        <v>25</v>
      </c>
      <c r="B8" s="10">
        <v>48</v>
      </c>
      <c r="F8" s="12"/>
      <c r="G8" s="12"/>
      <c r="H8" s="12"/>
    </row>
    <row r="9" spans="1:8" ht="17.5" x14ac:dyDescent="0.45">
      <c r="A9" s="4" t="s">
        <v>25</v>
      </c>
      <c r="B9" s="11">
        <v>80</v>
      </c>
      <c r="F9" s="13" t="s">
        <v>30</v>
      </c>
      <c r="G9" s="12">
        <f>COUNTIF(Quantity1,"&gt;50")</f>
        <v>7</v>
      </c>
      <c r="H9" s="12"/>
    </row>
    <row r="10" spans="1:8" ht="17.5" x14ac:dyDescent="0.45">
      <c r="A10" s="4" t="s">
        <v>28</v>
      </c>
      <c r="B10" s="11">
        <v>99</v>
      </c>
      <c r="F10" s="12"/>
      <c r="G10" s="12"/>
      <c r="H10" s="12"/>
    </row>
    <row r="11" spans="1:8" ht="17.5" x14ac:dyDescent="0.45">
      <c r="A11" s="4" t="s">
        <v>28</v>
      </c>
      <c r="B11" s="10">
        <v>15</v>
      </c>
      <c r="F11" s="13" t="s">
        <v>32</v>
      </c>
      <c r="G11" s="12">
        <f>COUNTIFS(Quantity1,"&gt;=60",Quantity1,"&lt;=80")</f>
        <v>5</v>
      </c>
      <c r="H11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SUM|SUMIF|SUMIFS</vt:lpstr>
      <vt:lpstr>COUNT|COUNTA|COUNTIF|COUNTIFS</vt:lpstr>
      <vt:lpstr>Division1</vt:lpstr>
      <vt:lpstr>DOJ1_</vt:lpstr>
      <vt:lpstr>Fruits1</vt:lpstr>
      <vt:lpstr>Name1</vt:lpstr>
      <vt:lpstr>Quantity1</vt:lpstr>
      <vt:lpstr>Salary1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2026-02-27T11:28:09Z</dcterms:created>
  <dcterms:modified xsi:type="dcterms:W3CDTF">2026-02-27T12:16:05Z</dcterms:modified>
</cp:coreProperties>
</file>