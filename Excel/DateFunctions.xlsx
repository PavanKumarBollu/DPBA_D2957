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DF694FD4-466B-40EF-AEEE-4E14AF52C654}" xr6:coauthVersionLast="37" xr6:coauthVersionMax="37" xr10:uidLastSave="{00000000-0000-0000-0000-000000000000}"/>
  <bookViews>
    <workbookView xWindow="0" yWindow="0" windowWidth="19200" windowHeight="7530" firstSheet="5" activeTab="10" xr2:uid="{40102075-AA7E-4325-B5AC-9623A240697C}"/>
  </bookViews>
  <sheets>
    <sheet name="Today" sheetId="1" r:id="rId1"/>
    <sheet name="Now" sheetId="2" r:id="rId2"/>
    <sheet name="DAte" sheetId="3" r:id="rId3"/>
    <sheet name="DayMonthYear" sheetId="4" r:id="rId4"/>
    <sheet name="SerialNumber" sheetId="5" r:id="rId5"/>
    <sheet name="EDate" sheetId="6" r:id="rId6"/>
    <sheet name="DateDif" sheetId="7" r:id="rId7"/>
    <sheet name="WeekDayAndWeekNumber" sheetId="8" r:id="rId8"/>
    <sheet name="WorkDay" sheetId="9" r:id="rId9"/>
    <sheet name="NetWorkingDays" sheetId="10" r:id="rId10"/>
    <sheet name="DateAndTime" sheetId="11" r:id="rId1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1" l="1"/>
  <c r="D4" i="11"/>
  <c r="D5" i="11"/>
  <c r="D6" i="11"/>
  <c r="D7" i="11"/>
  <c r="D8" i="11"/>
  <c r="D9" i="11"/>
  <c r="D10" i="11"/>
  <c r="D11" i="11"/>
  <c r="D2" i="11"/>
  <c r="C3" i="11"/>
  <c r="C4" i="11"/>
  <c r="C5" i="11"/>
  <c r="C6" i="11"/>
  <c r="C7" i="11"/>
  <c r="C8" i="11"/>
  <c r="C9" i="11"/>
  <c r="C10" i="11"/>
  <c r="C11" i="11"/>
  <c r="C2" i="11"/>
  <c r="C4" i="9" l="1"/>
  <c r="C5" i="9"/>
  <c r="C3" i="9"/>
  <c r="C2" i="9"/>
  <c r="B8" i="8"/>
  <c r="C8" i="8"/>
  <c r="B7" i="8"/>
  <c r="C7" i="8"/>
  <c r="C4" i="8"/>
  <c r="C5" i="8"/>
  <c r="C6" i="8"/>
  <c r="C2" i="8"/>
  <c r="B4" i="8"/>
  <c r="B5" i="8"/>
  <c r="B6" i="8"/>
  <c r="A3" i="8"/>
  <c r="B3" i="8" s="1"/>
  <c r="B2" i="8"/>
  <c r="C40" i="7"/>
  <c r="E40" i="7" s="1"/>
  <c r="C43" i="7"/>
  <c r="E43" i="7" s="1"/>
  <c r="C42" i="7"/>
  <c r="E42" i="7" s="1"/>
  <c r="C41" i="7"/>
  <c r="E41" i="7" s="1"/>
  <c r="C28" i="7"/>
  <c r="F28" i="7" s="1"/>
  <c r="C29" i="7"/>
  <c r="E29" i="7" s="1"/>
  <c r="C30" i="7"/>
  <c r="F30" i="7" s="1"/>
  <c r="E27" i="7"/>
  <c r="C19" i="7"/>
  <c r="F19" i="7" s="1"/>
  <c r="C20" i="7"/>
  <c r="F20" i="7" s="1"/>
  <c r="C21" i="7"/>
  <c r="F21" i="7" s="1"/>
  <c r="C18" i="7"/>
  <c r="D18" i="7" s="1"/>
  <c r="C11" i="7"/>
  <c r="D11" i="7" s="1"/>
  <c r="C12" i="7"/>
  <c r="D12" i="7" s="1"/>
  <c r="C13" i="7"/>
  <c r="D13" i="7" s="1"/>
  <c r="C10" i="7"/>
  <c r="D10" i="7" s="1"/>
  <c r="E3" i="7"/>
  <c r="E4" i="7"/>
  <c r="E5" i="7"/>
  <c r="E2" i="7"/>
  <c r="D3" i="7"/>
  <c r="D4" i="7"/>
  <c r="D5" i="7"/>
  <c r="D2" i="7"/>
  <c r="C3" i="7"/>
  <c r="C4" i="7"/>
  <c r="C5" i="7"/>
  <c r="C2" i="7"/>
  <c r="C3" i="8" l="1"/>
  <c r="D40" i="7"/>
  <c r="F43" i="7"/>
  <c r="F42" i="7"/>
  <c r="F41" i="7"/>
  <c r="F40" i="7"/>
  <c r="D41" i="7"/>
  <c r="D43" i="7"/>
  <c r="D42" i="7"/>
  <c r="D27" i="7"/>
  <c r="F29" i="7"/>
  <c r="F27" i="7"/>
  <c r="D28" i="7"/>
  <c r="D30" i="7"/>
  <c r="D29" i="7"/>
  <c r="E28" i="7"/>
  <c r="E30" i="7"/>
  <c r="D19" i="7"/>
  <c r="F18" i="7"/>
  <c r="D21" i="7"/>
  <c r="E18" i="7"/>
  <c r="E20" i="7"/>
  <c r="E19" i="7"/>
  <c r="E21" i="7"/>
  <c r="D20" i="7"/>
  <c r="F13" i="7"/>
  <c r="F12" i="7"/>
  <c r="F11" i="7"/>
  <c r="F10" i="7"/>
  <c r="E13" i="7"/>
  <c r="E12" i="7"/>
  <c r="E11" i="7"/>
  <c r="E10" i="7"/>
  <c r="D19" i="6" l="1"/>
  <c r="A22" i="6"/>
  <c r="D22" i="6" s="1"/>
  <c r="A21" i="6"/>
  <c r="D21" i="6" s="1"/>
  <c r="A20" i="6"/>
  <c r="D20" i="6" s="1"/>
  <c r="A19" i="6"/>
  <c r="C19" i="6" s="1"/>
  <c r="A15" i="6"/>
  <c r="C15" i="6" s="1"/>
  <c r="A14" i="6"/>
  <c r="C14" i="6" s="1"/>
  <c r="A13" i="6"/>
  <c r="C13" i="6" s="1"/>
  <c r="A12" i="6"/>
  <c r="A3" i="6"/>
  <c r="C3" i="6" s="1"/>
  <c r="A4" i="6"/>
  <c r="C4" i="6" s="1"/>
  <c r="A5" i="6"/>
  <c r="C5" i="6" s="1"/>
  <c r="A2" i="6"/>
  <c r="C2" i="6" s="1"/>
  <c r="E3" i="5"/>
  <c r="D3" i="5"/>
  <c r="C3" i="5"/>
  <c r="B2" i="5"/>
  <c r="C2" i="5" s="1"/>
  <c r="A2" i="5"/>
  <c r="E3" i="4"/>
  <c r="E4" i="4"/>
  <c r="D3" i="4"/>
  <c r="D4" i="4"/>
  <c r="C3" i="4"/>
  <c r="C4" i="4"/>
  <c r="E2" i="4"/>
  <c r="D2" i="4"/>
  <c r="C2" i="4"/>
  <c r="B2" i="3"/>
  <c r="C2" i="2"/>
  <c r="D2" i="2" s="1"/>
  <c r="C2" i="1"/>
  <c r="D2" i="1" s="1"/>
  <c r="C12" i="6" l="1"/>
  <c r="D12" i="6"/>
  <c r="C21" i="6"/>
  <c r="C22" i="6"/>
  <c r="C20" i="6"/>
  <c r="D15" i="6"/>
  <c r="D14" i="6"/>
  <c r="D13" i="6"/>
  <c r="E2" i="5"/>
  <c r="D2" i="5"/>
</calcChain>
</file>

<file path=xl/sharedStrings.xml><?xml version="1.0" encoding="utf-8"?>
<sst xmlns="http://schemas.openxmlformats.org/spreadsheetml/2006/main" count="109" uniqueCount="57">
  <si>
    <t>EmployeeName</t>
  </si>
  <si>
    <t>JoiningDate</t>
  </si>
  <si>
    <t>PresentDate</t>
  </si>
  <si>
    <t>Anil</t>
  </si>
  <si>
    <t xml:space="preserve">total days in the company </t>
  </si>
  <si>
    <t>Login Time</t>
  </si>
  <si>
    <t>Present System Time</t>
  </si>
  <si>
    <t>Total Working Hours</t>
  </si>
  <si>
    <t>DateOfJoining</t>
  </si>
  <si>
    <t>DateOfBirth</t>
  </si>
  <si>
    <t>Day</t>
  </si>
  <si>
    <t>Month</t>
  </si>
  <si>
    <t>Year</t>
  </si>
  <si>
    <t>Teja</t>
  </si>
  <si>
    <t>Prakash</t>
  </si>
  <si>
    <t>Pavan</t>
  </si>
  <si>
    <t>Today</t>
  </si>
  <si>
    <t>TodaySerialNumber</t>
  </si>
  <si>
    <t>Day Using SerialNumbe</t>
  </si>
  <si>
    <t>MonthUsingSerialNumber</t>
  </si>
  <si>
    <t>YearUsingSerialNumber</t>
  </si>
  <si>
    <t>OrderedDate</t>
  </si>
  <si>
    <t>ExpectedDays</t>
  </si>
  <si>
    <t>ActuallDeliveryDate</t>
  </si>
  <si>
    <t>ExpectedMonths</t>
  </si>
  <si>
    <t>ExpectedYears</t>
  </si>
  <si>
    <t>PersonName</t>
  </si>
  <si>
    <t>DOB</t>
  </si>
  <si>
    <t>Jalini</t>
  </si>
  <si>
    <t>Chandu</t>
  </si>
  <si>
    <t xml:space="preserve">dilip </t>
  </si>
  <si>
    <t>Datedif year</t>
  </si>
  <si>
    <t>DatedifMonth</t>
  </si>
  <si>
    <t>DatedifDays</t>
  </si>
  <si>
    <t>today</t>
  </si>
  <si>
    <t>Voter application and I need to verify the each person eligibilty</t>
  </si>
  <si>
    <t>eligible or not</t>
  </si>
  <si>
    <t>you need to wait for 1 month and 20 days more to get the eligibility</t>
  </si>
  <si>
    <t>WeekDay</t>
  </si>
  <si>
    <t>WeekNumber</t>
  </si>
  <si>
    <t>Date</t>
  </si>
  <si>
    <t>StartDate</t>
  </si>
  <si>
    <t>WorkDay</t>
  </si>
  <si>
    <t>NoOfWorkingDays</t>
  </si>
  <si>
    <t>Item Name</t>
  </si>
  <si>
    <t>Order Date and Time</t>
  </si>
  <si>
    <t>Laptop</t>
  </si>
  <si>
    <t>Office Chair</t>
  </si>
  <si>
    <t>Mobile Phone</t>
  </si>
  <si>
    <t>Printer</t>
  </si>
  <si>
    <t>Desk Lamp</t>
  </si>
  <si>
    <t>Monitor</t>
  </si>
  <si>
    <t>Keyboard</t>
  </si>
  <si>
    <t>Air Conditioner</t>
  </si>
  <si>
    <t>Coffee Machine</t>
  </si>
  <si>
    <t>Bookshelf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</si>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</sst>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;@"/>
    <numFmt numFmtId="165" formatCode="[$-409]mmmm\ d\,\ yyyy;@"/>
    <numFmt numFmtId="166" formatCode="[$-409]d/mmm;@"/>
    <numFmt numFmtId="167" formatCode="[$-409]d/mmm/yy\ h:mm\ AM/PM;@"/>
    <numFmt numFmtId="168" formatCode="d\.m\.yyyy;@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1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/>
    <xf numFmtId="0" fontId="0" fillId="0" borderId="1" xfId="0" applyBorder="1" applyAlignment="1"/>
    <xf numFmtId="167" fontId="0" fillId="0" borderId="1" xfId="0" applyNumberFormat="1" applyBorder="1" applyAlignment="1"/>
    <xf numFmtId="168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DBF0-9576-4CEF-B277-E91763E2E770}">
  <dimension ref="A1:D2"/>
  <sheetViews>
    <sheetView workbookViewId="0">
      <selection sqref="A1:D2"/>
    </sheetView>
  </sheetViews>
  <sheetFormatPr defaultRowHeight="14.5" x14ac:dyDescent="0.35"/>
  <cols>
    <col min="1" max="1" width="14" bestFit="1" customWidth="1"/>
    <col min="2" max="2" width="15.90625" customWidth="1"/>
    <col min="3" max="3" width="13" customWidth="1"/>
    <col min="4" max="4" width="22.90625" bestFit="1" customWidth="1"/>
  </cols>
  <sheetData>
    <row r="1" spans="1:4" x14ac:dyDescent="0.35">
      <c r="A1" s="4" t="s">
        <v>0</v>
      </c>
      <c r="B1" s="4" t="s">
        <v>1</v>
      </c>
      <c r="C1" s="4" t="s">
        <v>2</v>
      </c>
      <c r="D1" s="4" t="s">
        <v>4</v>
      </c>
    </row>
    <row r="2" spans="1:4" x14ac:dyDescent="0.35">
      <c r="A2" s="4" t="s">
        <v>3</v>
      </c>
      <c r="B2" s="5">
        <v>45892</v>
      </c>
      <c r="C2" s="5">
        <f ca="1">TODAY()</f>
        <v>46077</v>
      </c>
      <c r="D2" s="4">
        <f ca="1">C2-B2</f>
        <v>185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9C37-A965-446A-B1CE-9F79368C1F36}">
  <dimension ref="A1:D2"/>
  <sheetViews>
    <sheetView workbookViewId="0">
      <selection activeCell="E2" sqref="E2:G4"/>
    </sheetView>
  </sheetViews>
  <sheetFormatPr defaultColWidth="8.6328125" defaultRowHeight="14.5" x14ac:dyDescent="0.35"/>
  <cols>
    <col min="1" max="1" width="14" bestFit="1" customWidth="1"/>
    <col min="2" max="2" width="10.453125" bestFit="1" customWidth="1"/>
    <col min="3" max="3" width="30" customWidth="1"/>
    <col min="4" max="4" width="22.90625" bestFit="1" customWidth="1"/>
    <col min="5" max="5" width="10" customWidth="1"/>
  </cols>
  <sheetData>
    <row r="1" spans="1:4" x14ac:dyDescent="0.35">
      <c r="A1" s="4" t="s">
        <v>0</v>
      </c>
      <c r="B1" s="4" t="s">
        <v>5</v>
      </c>
      <c r="C1" s="4" t="s">
        <v>6</v>
      </c>
      <c r="D1" s="4" t="s">
        <v>7</v>
      </c>
    </row>
    <row r="2" spans="1:4" x14ac:dyDescent="0.35">
      <c r="A2" s="4" t="s">
        <v>3</v>
      </c>
      <c r="B2" s="6">
        <v>0.375</v>
      </c>
      <c r="C2" s="7">
        <f ca="1">NOW()</f>
        <v>46077.694287500002</v>
      </c>
      <c r="D2" s="7">
        <f ca="1">C2-B2</f>
        <v>46077.319287500002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33E8-283E-4CA8-A4EA-79893D89AD32}">
  <dimension ref="A1:B2"/>
  <sheetViews>
    <sheetView workbookViewId="0">
      <selection activeCell="B2" sqref="B2"/>
    </sheetView>
  </sheetViews>
  <sheetFormatPr defaultRowHeight="14.5" x14ac:dyDescent="0.35"/>
  <cols>
    <col min="1" max="1" width="14" bestFit="1" customWidth="1"/>
    <col min="2" max="2" width="20.90625" customWidth="1"/>
  </cols>
  <sheetData>
    <row r="1" spans="1:2" x14ac:dyDescent="0.35">
      <c r="A1" t="s">
        <v>0</v>
      </c>
      <c r="B1" t="s">
        <v>8</v>
      </c>
    </row>
    <row r="2" spans="1:2" x14ac:dyDescent="0.35">
      <c r="A2" t="s">
        <v>3</v>
      </c>
      <c r="B2" s="3">
        <f>DATE(26,2,19)</f>
        <v>9547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2DE2A-807E-42BD-84A3-7B43C69B8E7B}">
  <dimension ref="A1:G4"/>
  <sheetViews>
    <sheetView workbookViewId="0">
      <selection activeCell="G2" sqref="G2"/>
    </sheetView>
  </sheetViews>
  <sheetFormatPr defaultRowHeight="14.5" x14ac:dyDescent="0.35"/>
  <cols>
    <col min="1" max="1" width="14" bestFit="1" customWidth="1"/>
    <col min="2" max="2" width="10.7265625" bestFit="1" customWidth="1"/>
    <col min="3" max="5" width="8.7265625" style="2"/>
    <col min="7" max="7" width="10.08984375" bestFit="1" customWidth="1"/>
  </cols>
  <sheetData>
    <row r="1" spans="1:7" x14ac:dyDescent="0.35">
      <c r="A1" s="8" t="s">
        <v>0</v>
      </c>
      <c r="B1" s="8" t="s">
        <v>9</v>
      </c>
      <c r="C1" s="9" t="s">
        <v>10</v>
      </c>
      <c r="D1" s="9" t="s">
        <v>11</v>
      </c>
      <c r="E1" s="9" t="s">
        <v>12</v>
      </c>
    </row>
    <row r="2" spans="1:7" x14ac:dyDescent="0.35">
      <c r="A2" s="8" t="s">
        <v>13</v>
      </c>
      <c r="B2" s="10">
        <v>38509</v>
      </c>
      <c r="C2" s="9">
        <f>DAY(B2)</f>
        <v>6</v>
      </c>
      <c r="D2" s="9">
        <f>MONTH(B2)</f>
        <v>6</v>
      </c>
      <c r="E2" s="9">
        <f>YEAR(B2)</f>
        <v>2005</v>
      </c>
      <c r="G2" s="1"/>
    </row>
    <row r="3" spans="1:7" x14ac:dyDescent="0.35">
      <c r="A3" s="8" t="s">
        <v>14</v>
      </c>
      <c r="B3" s="10">
        <v>38112</v>
      </c>
      <c r="C3" s="9">
        <f t="shared" ref="C3:C4" si="0">DAY(B3)</f>
        <v>5</v>
      </c>
      <c r="D3" s="9">
        <f t="shared" ref="D3:D4" si="1">MONTH(B3)</f>
        <v>5</v>
      </c>
      <c r="E3" s="9">
        <f t="shared" ref="E3:E4" si="2">YEAR(B3)</f>
        <v>2004</v>
      </c>
    </row>
    <row r="4" spans="1:7" x14ac:dyDescent="0.35">
      <c r="A4" s="8" t="s">
        <v>15</v>
      </c>
      <c r="B4" s="10">
        <v>37057</v>
      </c>
      <c r="C4" s="9">
        <f t="shared" si="0"/>
        <v>15</v>
      </c>
      <c r="D4" s="9">
        <f t="shared" si="1"/>
        <v>6</v>
      </c>
      <c r="E4" s="9">
        <f t="shared" si="2"/>
        <v>2001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902D0-30F4-4DA5-A701-8C3B4ECFDE74}">
  <dimension ref="A1:E7"/>
  <sheetViews>
    <sheetView workbookViewId="0">
      <selection activeCell="D10" sqref="D10"/>
    </sheetView>
  </sheetViews>
  <sheetFormatPr defaultRowHeight="14.5" x14ac:dyDescent="0.35"/>
  <cols>
    <col min="1" max="1" width="15.26953125" customWidth="1"/>
    <col min="2" max="2" width="17.453125" bestFit="1" customWidth="1"/>
    <col min="3" max="3" width="20.26953125" style="2" bestFit="1" customWidth="1"/>
    <col min="4" max="4" width="22.6328125" style="2" bestFit="1" customWidth="1"/>
    <col min="5" max="5" width="20.6328125" style="2" bestFit="1" customWidth="1"/>
  </cols>
  <sheetData>
    <row r="1" spans="1:5" x14ac:dyDescent="0.35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</row>
    <row r="2" spans="1:5" x14ac:dyDescent="0.35">
      <c r="A2" s="11">
        <f ca="1">TODAY()</f>
        <v>46077</v>
      </c>
      <c r="B2" s="12">
        <f ca="1">TODAY()</f>
        <v>46077</v>
      </c>
      <c r="C2" s="9">
        <f ca="1">DAY(B2)</f>
        <v>24</v>
      </c>
      <c r="D2" s="9">
        <f ca="1">MONTH(B2)</f>
        <v>2</v>
      </c>
      <c r="E2" s="9">
        <f ca="1">YEAR(B2)</f>
        <v>2026</v>
      </c>
    </row>
    <row r="3" spans="1:5" x14ac:dyDescent="0.35">
      <c r="A3" s="11">
        <v>37057</v>
      </c>
      <c r="B3" s="12">
        <v>37057</v>
      </c>
      <c r="C3" s="9">
        <f>DAY(B3)</f>
        <v>15</v>
      </c>
      <c r="D3" s="9">
        <f>MONTH(B3)</f>
        <v>6</v>
      </c>
      <c r="E3" s="9">
        <f>YEAR(B3)</f>
        <v>2001</v>
      </c>
    </row>
    <row r="7" spans="1:5" x14ac:dyDescent="0.35">
      <c r="E7" s="3">
        <v>949978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29CE8-112D-4938-90F2-204D9E6D5C56}">
  <dimension ref="A1:D22"/>
  <sheetViews>
    <sheetView workbookViewId="0">
      <selection activeCell="D12" sqref="D12"/>
    </sheetView>
  </sheetViews>
  <sheetFormatPr defaultRowHeight="14.5" x14ac:dyDescent="0.35"/>
  <cols>
    <col min="1" max="1" width="11.7265625" style="4" bestFit="1" customWidth="1"/>
    <col min="2" max="2" width="14.90625" style="4" bestFit="1" customWidth="1"/>
    <col min="3" max="3" width="17.26953125" style="4" bestFit="1" customWidth="1"/>
    <col min="4" max="4" width="17.26953125" bestFit="1" customWidth="1"/>
  </cols>
  <sheetData>
    <row r="1" spans="1:4" x14ac:dyDescent="0.35">
      <c r="A1" s="13" t="s">
        <v>21</v>
      </c>
      <c r="B1" s="13" t="s">
        <v>22</v>
      </c>
      <c r="C1" s="13" t="s">
        <v>23</v>
      </c>
    </row>
    <row r="2" spans="1:4" x14ac:dyDescent="0.35">
      <c r="A2" s="14">
        <f ca="1">TODAY()</f>
        <v>46077</v>
      </c>
      <c r="B2" s="13">
        <v>5</v>
      </c>
      <c r="C2" s="14">
        <f ca="1">A2+B2</f>
        <v>46082</v>
      </c>
    </row>
    <row r="3" spans="1:4" x14ac:dyDescent="0.35">
      <c r="A3" s="14">
        <f t="shared" ref="A3:A5" ca="1" si="0">TODAY()</f>
        <v>46077</v>
      </c>
      <c r="B3" s="13">
        <v>3</v>
      </c>
      <c r="C3" s="14">
        <f t="shared" ref="C3:C5" ca="1" si="1">A3+B3</f>
        <v>46080</v>
      </c>
    </row>
    <row r="4" spans="1:4" x14ac:dyDescent="0.35">
      <c r="A4" s="14">
        <f t="shared" ca="1" si="0"/>
        <v>46077</v>
      </c>
      <c r="B4" s="13">
        <v>10</v>
      </c>
      <c r="C4" s="14">
        <f t="shared" ca="1" si="1"/>
        <v>46087</v>
      </c>
    </row>
    <row r="5" spans="1:4" x14ac:dyDescent="0.35">
      <c r="A5" s="14">
        <f t="shared" ca="1" si="0"/>
        <v>46077</v>
      </c>
      <c r="B5" s="13">
        <v>7</v>
      </c>
      <c r="C5" s="14">
        <f t="shared" ca="1" si="1"/>
        <v>46084</v>
      </c>
    </row>
    <row r="11" spans="1:4" x14ac:dyDescent="0.35">
      <c r="A11" s="13" t="s">
        <v>21</v>
      </c>
      <c r="B11" s="13" t="s">
        <v>24</v>
      </c>
      <c r="C11" s="13" t="s">
        <v>23</v>
      </c>
      <c r="D11" s="13" t="s">
        <v>23</v>
      </c>
    </row>
    <row r="12" spans="1:4" x14ac:dyDescent="0.35">
      <c r="A12" s="14">
        <f ca="1">TODAY()</f>
        <v>46077</v>
      </c>
      <c r="B12" s="13">
        <v>5</v>
      </c>
      <c r="C12" s="15">
        <f ca="1">(B12*30)+A12</f>
        <v>46227</v>
      </c>
      <c r="D12" s="16">
        <f ca="1">EDATE(A12,B12)</f>
        <v>46227</v>
      </c>
    </row>
    <row r="13" spans="1:4" x14ac:dyDescent="0.35">
      <c r="A13" s="14">
        <f t="shared" ref="A13:A15" ca="1" si="2">TODAY()</f>
        <v>46077</v>
      </c>
      <c r="B13" s="13">
        <v>3</v>
      </c>
      <c r="C13" s="15">
        <f t="shared" ref="C13:C15" ca="1" si="3">(B13*30)+A13</f>
        <v>46167</v>
      </c>
      <c r="D13" s="16">
        <f t="shared" ref="D13:D15" ca="1" si="4">EDATE(A13,B13)</f>
        <v>46166</v>
      </c>
    </row>
    <row r="14" spans="1:4" x14ac:dyDescent="0.35">
      <c r="A14" s="14">
        <f t="shared" ca="1" si="2"/>
        <v>46077</v>
      </c>
      <c r="B14" s="13">
        <v>10</v>
      </c>
      <c r="C14" s="15">
        <f t="shared" ca="1" si="3"/>
        <v>46377</v>
      </c>
      <c r="D14" s="16">
        <f t="shared" ca="1" si="4"/>
        <v>46380</v>
      </c>
    </row>
    <row r="15" spans="1:4" x14ac:dyDescent="0.35">
      <c r="A15" s="14">
        <f t="shared" ca="1" si="2"/>
        <v>46077</v>
      </c>
      <c r="B15" s="13">
        <v>7</v>
      </c>
      <c r="C15" s="15">
        <f t="shared" ca="1" si="3"/>
        <v>46287</v>
      </c>
      <c r="D15" s="16">
        <f t="shared" ca="1" si="4"/>
        <v>46289</v>
      </c>
    </row>
    <row r="18" spans="1:4" x14ac:dyDescent="0.35">
      <c r="A18" s="13" t="s">
        <v>21</v>
      </c>
      <c r="B18" s="13" t="s">
        <v>25</v>
      </c>
      <c r="C18" s="13" t="s">
        <v>23</v>
      </c>
      <c r="D18" s="13" t="s">
        <v>23</v>
      </c>
    </row>
    <row r="19" spans="1:4" x14ac:dyDescent="0.35">
      <c r="A19" s="14">
        <f ca="1">TODAY()</f>
        <v>46077</v>
      </c>
      <c r="B19" s="13">
        <v>5</v>
      </c>
      <c r="C19" s="15">
        <f ca="1">(B19*30*12)+A19</f>
        <v>47877</v>
      </c>
      <c r="D19" s="16">
        <f>L12</f>
        <v>0</v>
      </c>
    </row>
    <row r="20" spans="1:4" x14ac:dyDescent="0.35">
      <c r="A20" s="14">
        <f t="shared" ref="A20:A22" ca="1" si="5">TODAY()</f>
        <v>46077</v>
      </c>
      <c r="B20" s="13">
        <v>3</v>
      </c>
      <c r="C20" s="15">
        <f t="shared" ref="C20:C22" ca="1" si="6">(B20*30*12)+A20</f>
        <v>47157</v>
      </c>
      <c r="D20" s="16">
        <f t="shared" ref="D20:D22" ca="1" si="7">EDATE(A20,B20*12)</f>
        <v>47173</v>
      </c>
    </row>
    <row r="21" spans="1:4" x14ac:dyDescent="0.35">
      <c r="A21" s="14">
        <f t="shared" ca="1" si="5"/>
        <v>46077</v>
      </c>
      <c r="B21" s="13">
        <v>10</v>
      </c>
      <c r="C21" s="15">
        <f ca="1">(B21*30*12)+A21</f>
        <v>49677</v>
      </c>
      <c r="D21" s="16">
        <f t="shared" ca="1" si="7"/>
        <v>49729</v>
      </c>
    </row>
    <row r="22" spans="1:4" x14ac:dyDescent="0.35">
      <c r="A22" s="14">
        <f t="shared" ca="1" si="5"/>
        <v>46077</v>
      </c>
      <c r="B22" s="13">
        <v>7</v>
      </c>
      <c r="C22" s="15">
        <f t="shared" ca="1" si="6"/>
        <v>48597</v>
      </c>
      <c r="D22" s="16">
        <f t="shared" ca="1" si="7"/>
        <v>48634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4242F-648D-4176-B526-E19F3832CD10}">
  <dimension ref="A1:G44"/>
  <sheetViews>
    <sheetView topLeftCell="A31" workbookViewId="0">
      <selection activeCell="E46" sqref="E46"/>
    </sheetView>
  </sheetViews>
  <sheetFormatPr defaultRowHeight="14.5" x14ac:dyDescent="0.35"/>
  <cols>
    <col min="1" max="1" width="11.453125" style="4" bestFit="1" customWidth="1"/>
    <col min="2" max="2" width="14" style="4" customWidth="1"/>
    <col min="3" max="3" width="15.7265625" style="4" customWidth="1"/>
    <col min="4" max="4" width="17.453125" style="2" customWidth="1"/>
    <col min="5" max="5" width="19.7265625" style="2" customWidth="1"/>
    <col min="6" max="6" width="14" customWidth="1"/>
    <col min="7" max="7" width="12.453125" customWidth="1"/>
  </cols>
  <sheetData>
    <row r="1" spans="1:6" x14ac:dyDescent="0.35">
      <c r="A1" s="13" t="s">
        <v>26</v>
      </c>
      <c r="B1" s="13" t="s">
        <v>27</v>
      </c>
      <c r="C1" s="13" t="s">
        <v>31</v>
      </c>
      <c r="D1" s="17" t="s">
        <v>32</v>
      </c>
      <c r="E1" s="17" t="s">
        <v>33</v>
      </c>
    </row>
    <row r="2" spans="1:6" x14ac:dyDescent="0.35">
      <c r="A2" s="13" t="s">
        <v>28</v>
      </c>
      <c r="B2" s="14">
        <v>37145</v>
      </c>
      <c r="C2" s="13">
        <f ca="1">DATEDIF(B2,TODAY(),"Y")</f>
        <v>24</v>
      </c>
      <c r="D2" s="9">
        <f ca="1">DATEDIF(B2,TODAY(),"M")</f>
        <v>293</v>
      </c>
      <c r="E2" s="9">
        <f ca="1">DATEDIF(B2,TODAY(),"D")</f>
        <v>8932</v>
      </c>
    </row>
    <row r="3" spans="1:6" x14ac:dyDescent="0.35">
      <c r="A3" s="13" t="s">
        <v>13</v>
      </c>
      <c r="B3" s="14">
        <v>38509</v>
      </c>
      <c r="C3" s="13">
        <f t="shared" ref="C3:C5" ca="1" si="0">DATEDIF(B3,TODAY(),"Y")</f>
        <v>20</v>
      </c>
      <c r="D3" s="9">
        <f t="shared" ref="D3:D5" ca="1" si="1">DATEDIF(B3,TODAY(),"M")</f>
        <v>248</v>
      </c>
      <c r="E3" s="9">
        <f t="shared" ref="E3:E5" ca="1" si="2">DATEDIF(B3,TODAY(),"D")</f>
        <v>7568</v>
      </c>
    </row>
    <row r="4" spans="1:6" x14ac:dyDescent="0.35">
      <c r="A4" s="13" t="s">
        <v>29</v>
      </c>
      <c r="B4" s="14">
        <v>38286</v>
      </c>
      <c r="C4" s="13">
        <f t="shared" ca="1" si="0"/>
        <v>21</v>
      </c>
      <c r="D4" s="9">
        <f t="shared" ca="1" si="1"/>
        <v>255</v>
      </c>
      <c r="E4" s="9">
        <f t="shared" ca="1" si="2"/>
        <v>7791</v>
      </c>
    </row>
    <row r="5" spans="1:6" x14ac:dyDescent="0.35">
      <c r="A5" s="13" t="s">
        <v>30</v>
      </c>
      <c r="B5" s="14">
        <v>37903</v>
      </c>
      <c r="C5" s="13">
        <f t="shared" ca="1" si="0"/>
        <v>22</v>
      </c>
      <c r="D5" s="9">
        <f t="shared" ca="1" si="1"/>
        <v>268</v>
      </c>
      <c r="E5" s="9">
        <f t="shared" ca="1" si="2"/>
        <v>8174</v>
      </c>
    </row>
    <row r="6" spans="1:6" x14ac:dyDescent="0.35">
      <c r="A6" s="18"/>
      <c r="B6" s="18"/>
      <c r="C6" s="18"/>
      <c r="D6" s="19"/>
      <c r="E6" s="19"/>
    </row>
    <row r="7" spans="1:6" x14ac:dyDescent="0.35">
      <c r="A7" s="18"/>
      <c r="B7" s="18"/>
      <c r="C7" s="18"/>
      <c r="D7" s="19"/>
      <c r="E7" s="19"/>
    </row>
    <row r="8" spans="1:6" x14ac:dyDescent="0.35">
      <c r="A8" s="18"/>
      <c r="B8" s="18"/>
      <c r="C8" s="18"/>
      <c r="D8" s="19"/>
      <c r="E8" s="19"/>
    </row>
    <row r="9" spans="1:6" x14ac:dyDescent="0.35">
      <c r="A9" s="13" t="s">
        <v>26</v>
      </c>
      <c r="B9" s="13" t="s">
        <v>27</v>
      </c>
      <c r="C9" s="13" t="s">
        <v>34</v>
      </c>
      <c r="D9" s="13" t="s">
        <v>31</v>
      </c>
      <c r="E9" s="17" t="s">
        <v>32</v>
      </c>
      <c r="F9" s="17" t="s">
        <v>33</v>
      </c>
    </row>
    <row r="10" spans="1:6" x14ac:dyDescent="0.35">
      <c r="A10" s="13" t="s">
        <v>28</v>
      </c>
      <c r="B10" s="14">
        <v>37145</v>
      </c>
      <c r="C10" s="20">
        <f ca="1">TODAY()</f>
        <v>46077</v>
      </c>
      <c r="D10" s="9">
        <f ca="1">DATEDIF(B10,C10,"Y")</f>
        <v>24</v>
      </c>
      <c r="E10" s="9">
        <f ca="1">DATEDIF(B10,C10,"M")</f>
        <v>293</v>
      </c>
      <c r="F10" s="9">
        <f ca="1">DATEDIF(B10,C10,"D")</f>
        <v>8932</v>
      </c>
    </row>
    <row r="11" spans="1:6" x14ac:dyDescent="0.35">
      <c r="A11" s="13" t="s">
        <v>13</v>
      </c>
      <c r="B11" s="14">
        <v>38509</v>
      </c>
      <c r="C11" s="20">
        <f t="shared" ref="C11:C13" ca="1" si="3">TODAY()</f>
        <v>46077</v>
      </c>
      <c r="D11" s="9">
        <f t="shared" ref="D11:D13" ca="1" si="4">DATEDIF(B11,C11,"Y")</f>
        <v>20</v>
      </c>
      <c r="E11" s="9">
        <f t="shared" ref="E11:E13" ca="1" si="5">DATEDIF(B11,C11,"M")</f>
        <v>248</v>
      </c>
      <c r="F11" s="9">
        <f t="shared" ref="F11:F13" ca="1" si="6">DATEDIF(B11,C11,"D")</f>
        <v>7568</v>
      </c>
    </row>
    <row r="12" spans="1:6" x14ac:dyDescent="0.35">
      <c r="A12" s="13" t="s">
        <v>29</v>
      </c>
      <c r="B12" s="14">
        <v>38286</v>
      </c>
      <c r="C12" s="20">
        <f t="shared" ca="1" si="3"/>
        <v>46077</v>
      </c>
      <c r="D12" s="9">
        <f t="shared" ca="1" si="4"/>
        <v>21</v>
      </c>
      <c r="E12" s="9">
        <f t="shared" ca="1" si="5"/>
        <v>255</v>
      </c>
      <c r="F12" s="9">
        <f t="shared" ca="1" si="6"/>
        <v>7791</v>
      </c>
    </row>
    <row r="13" spans="1:6" x14ac:dyDescent="0.35">
      <c r="A13" s="13" t="s">
        <v>30</v>
      </c>
      <c r="B13" s="14">
        <v>37903</v>
      </c>
      <c r="C13" s="20">
        <f t="shared" ca="1" si="3"/>
        <v>46077</v>
      </c>
      <c r="D13" s="9">
        <f t="shared" ca="1" si="4"/>
        <v>22</v>
      </c>
      <c r="E13" s="9">
        <f t="shared" ca="1" si="5"/>
        <v>268</v>
      </c>
      <c r="F13" s="9">
        <f t="shared" ca="1" si="6"/>
        <v>8174</v>
      </c>
    </row>
    <row r="14" spans="1:6" x14ac:dyDescent="0.35">
      <c r="A14" s="18"/>
      <c r="B14" s="18"/>
      <c r="C14" s="18"/>
      <c r="D14" s="19"/>
      <c r="E14" s="19"/>
    </row>
    <row r="17" spans="1:6" x14ac:dyDescent="0.35">
      <c r="A17" s="13" t="s">
        <v>26</v>
      </c>
      <c r="B17" s="13" t="s">
        <v>27</v>
      </c>
      <c r="C17" s="13" t="s">
        <v>34</v>
      </c>
      <c r="D17" s="13" t="s">
        <v>31</v>
      </c>
      <c r="E17" s="17" t="s">
        <v>32</v>
      </c>
      <c r="F17" s="17" t="s">
        <v>33</v>
      </c>
    </row>
    <row r="18" spans="1:6" x14ac:dyDescent="0.35">
      <c r="A18" s="13" t="s">
        <v>28</v>
      </c>
      <c r="B18" s="14">
        <v>37145</v>
      </c>
      <c r="C18" s="21">
        <f ca="1">TODAY()</f>
        <v>46077</v>
      </c>
      <c r="D18" s="9">
        <f ca="1">DATEDIF(B18,C18,"Y")</f>
        <v>24</v>
      </c>
      <c r="E18" s="9">
        <f ca="1">DATEDIF(B18,C18,"M")</f>
        <v>293</v>
      </c>
      <c r="F18" s="9">
        <f ca="1">DATEDIF(B18,C18,"D")</f>
        <v>8932</v>
      </c>
    </row>
    <row r="19" spans="1:6" x14ac:dyDescent="0.35">
      <c r="A19" s="13" t="s">
        <v>13</v>
      </c>
      <c r="B19" s="14">
        <v>38509</v>
      </c>
      <c r="C19" s="21">
        <f t="shared" ref="C19:C21" ca="1" si="7">TODAY()</f>
        <v>46077</v>
      </c>
      <c r="D19" s="9">
        <f ca="1">DATEDIF(B19,C19,"Y")</f>
        <v>20</v>
      </c>
      <c r="E19" s="9">
        <f t="shared" ref="E19:E21" ca="1" si="8">DATEDIF(B19,C19,"M")</f>
        <v>248</v>
      </c>
      <c r="F19" s="9">
        <f t="shared" ref="F19:F21" ca="1" si="9">DATEDIF(B19,C19,"D")</f>
        <v>7568</v>
      </c>
    </row>
    <row r="20" spans="1:6" x14ac:dyDescent="0.35">
      <c r="A20" s="13" t="s">
        <v>29</v>
      </c>
      <c r="B20" s="14">
        <v>38286</v>
      </c>
      <c r="C20" s="21">
        <f t="shared" ca="1" si="7"/>
        <v>46077</v>
      </c>
      <c r="D20" s="9">
        <f t="shared" ref="D20:D21" ca="1" si="10">DATEDIF(B20,C20,"Y")</f>
        <v>21</v>
      </c>
      <c r="E20" s="9">
        <f t="shared" ca="1" si="8"/>
        <v>255</v>
      </c>
      <c r="F20" s="9">
        <f t="shared" ca="1" si="9"/>
        <v>7791</v>
      </c>
    </row>
    <row r="21" spans="1:6" x14ac:dyDescent="0.35">
      <c r="A21" s="13" t="s">
        <v>30</v>
      </c>
      <c r="B21" s="14">
        <v>37903</v>
      </c>
      <c r="C21" s="21">
        <f t="shared" ca="1" si="7"/>
        <v>46077</v>
      </c>
      <c r="D21" s="9">
        <f t="shared" ca="1" si="10"/>
        <v>22</v>
      </c>
      <c r="E21" s="9">
        <f t="shared" ca="1" si="8"/>
        <v>268</v>
      </c>
      <c r="F21" s="9">
        <f t="shared" ca="1" si="9"/>
        <v>8174</v>
      </c>
    </row>
    <row r="26" spans="1:6" x14ac:dyDescent="0.35">
      <c r="A26" s="13" t="s">
        <v>26</v>
      </c>
      <c r="B26" s="13" t="s">
        <v>27</v>
      </c>
      <c r="C26" s="13" t="s">
        <v>16</v>
      </c>
      <c r="D26" s="13" t="s">
        <v>31</v>
      </c>
      <c r="E26" s="17" t="s">
        <v>32</v>
      </c>
      <c r="F26" s="17" t="s">
        <v>33</v>
      </c>
    </row>
    <row r="27" spans="1:6" x14ac:dyDescent="0.35">
      <c r="A27" s="13" t="s">
        <v>28</v>
      </c>
      <c r="B27" s="14">
        <v>37145</v>
      </c>
      <c r="C27" s="22">
        <v>46076</v>
      </c>
      <c r="D27" s="9">
        <f>DATEDIF(B27,C27,"Y")</f>
        <v>24</v>
      </c>
      <c r="E27" s="9">
        <f>DATEDIF(B27,C27,"M")</f>
        <v>293</v>
      </c>
      <c r="F27" s="9">
        <f>DATEDIF(B27,C27,"D")</f>
        <v>8931</v>
      </c>
    </row>
    <row r="28" spans="1:6" x14ac:dyDescent="0.35">
      <c r="A28" s="13" t="s">
        <v>13</v>
      </c>
      <c r="B28" s="14">
        <v>38509</v>
      </c>
      <c r="C28" s="22">
        <f t="shared" ref="C28:C30" ca="1" si="11">TODAY()</f>
        <v>46077</v>
      </c>
      <c r="D28" s="9">
        <f ca="1">DATEDIF(B28,C28,"Y")</f>
        <v>20</v>
      </c>
      <c r="E28" s="9">
        <f t="shared" ref="E28:E30" ca="1" si="12">DATEDIF(B28,C28,"M")</f>
        <v>248</v>
      </c>
      <c r="F28" s="9">
        <f t="shared" ref="F28:F30" ca="1" si="13">DATEDIF(B28,C28,"D")</f>
        <v>7568</v>
      </c>
    </row>
    <row r="29" spans="1:6" x14ac:dyDescent="0.35">
      <c r="A29" s="13" t="s">
        <v>29</v>
      </c>
      <c r="B29" s="14">
        <v>38286</v>
      </c>
      <c r="C29" s="22">
        <f t="shared" ca="1" si="11"/>
        <v>46077</v>
      </c>
      <c r="D29" s="9">
        <f t="shared" ref="D29:D30" ca="1" si="14">DATEDIF(B29,C29,"Y")</f>
        <v>21</v>
      </c>
      <c r="E29" s="9">
        <f t="shared" ca="1" si="12"/>
        <v>255</v>
      </c>
      <c r="F29" s="9">
        <f t="shared" ca="1" si="13"/>
        <v>7791</v>
      </c>
    </row>
    <row r="30" spans="1:6" x14ac:dyDescent="0.35">
      <c r="A30" s="13" t="s">
        <v>30</v>
      </c>
      <c r="B30" s="14">
        <v>37903</v>
      </c>
      <c r="C30" s="22">
        <f t="shared" ca="1" si="11"/>
        <v>46077</v>
      </c>
      <c r="D30" s="9">
        <f t="shared" ca="1" si="14"/>
        <v>22</v>
      </c>
      <c r="E30" s="9">
        <f t="shared" ca="1" si="12"/>
        <v>268</v>
      </c>
      <c r="F30" s="9">
        <f t="shared" ca="1" si="13"/>
        <v>8174</v>
      </c>
    </row>
    <row r="37" spans="1:7" ht="14.5" customHeight="1" x14ac:dyDescent="0.35">
      <c r="A37" s="27" t="s">
        <v>35</v>
      </c>
      <c r="B37" s="27"/>
      <c r="C37" s="27"/>
      <c r="D37" s="27"/>
    </row>
    <row r="39" spans="1:7" x14ac:dyDescent="0.35">
      <c r="A39" s="13" t="s">
        <v>26</v>
      </c>
      <c r="B39" s="13" t="s">
        <v>27</v>
      </c>
      <c r="C39" s="13" t="s">
        <v>34</v>
      </c>
      <c r="D39" s="13" t="s">
        <v>31</v>
      </c>
      <c r="E39" s="17" t="s">
        <v>32</v>
      </c>
      <c r="F39" s="17" t="s">
        <v>33</v>
      </c>
      <c r="G39" s="17" t="s">
        <v>36</v>
      </c>
    </row>
    <row r="40" spans="1:7" x14ac:dyDescent="0.35">
      <c r="A40" s="13" t="s">
        <v>28</v>
      </c>
      <c r="B40" s="14">
        <v>37145</v>
      </c>
      <c r="C40" s="20">
        <f ca="1">TODAY()</f>
        <v>46077</v>
      </c>
      <c r="D40" s="9">
        <f ca="1">DATEDIF(B40,C40,"Y")</f>
        <v>24</v>
      </c>
      <c r="E40" s="9">
        <f ca="1">DATEDIF(B40,C40,"YM")</f>
        <v>5</v>
      </c>
      <c r="F40" s="9">
        <f ca="1">DATEDIF(B40,C40,"MD")</f>
        <v>13</v>
      </c>
      <c r="G40" s="8"/>
    </row>
    <row r="41" spans="1:7" x14ac:dyDescent="0.35">
      <c r="A41" s="13" t="s">
        <v>13</v>
      </c>
      <c r="B41" s="14">
        <v>38509</v>
      </c>
      <c r="C41" s="20">
        <f t="shared" ref="C41:C43" ca="1" si="15">TODAY()</f>
        <v>46077</v>
      </c>
      <c r="D41" s="9">
        <f t="shared" ref="D41:D43" ca="1" si="16">DATEDIF(B41,C41,"Y")</f>
        <v>20</v>
      </c>
      <c r="E41" s="9">
        <f t="shared" ref="E41:E43" ca="1" si="17">DATEDIF(B41,C41,"YM")</f>
        <v>8</v>
      </c>
      <c r="F41" s="9">
        <f t="shared" ref="F41:F43" ca="1" si="18">DATEDIF(B41,C41,"MD")</f>
        <v>18</v>
      </c>
      <c r="G41" s="8"/>
    </row>
    <row r="42" spans="1:7" x14ac:dyDescent="0.35">
      <c r="A42" s="13" t="s">
        <v>29</v>
      </c>
      <c r="B42" s="14">
        <v>38286</v>
      </c>
      <c r="C42" s="20">
        <f t="shared" ca="1" si="15"/>
        <v>46077</v>
      </c>
      <c r="D42" s="9">
        <f t="shared" ca="1" si="16"/>
        <v>21</v>
      </c>
      <c r="E42" s="9">
        <f t="shared" ca="1" si="17"/>
        <v>3</v>
      </c>
      <c r="F42" s="9">
        <f t="shared" ca="1" si="18"/>
        <v>29</v>
      </c>
      <c r="G42" s="8"/>
    </row>
    <row r="43" spans="1:7" x14ac:dyDescent="0.35">
      <c r="A43" s="13" t="s">
        <v>30</v>
      </c>
      <c r="B43" s="14">
        <v>37903</v>
      </c>
      <c r="C43" s="20">
        <f t="shared" ca="1" si="15"/>
        <v>46077</v>
      </c>
      <c r="D43" s="9">
        <f t="shared" ca="1" si="16"/>
        <v>22</v>
      </c>
      <c r="E43" s="9">
        <f t="shared" ca="1" si="17"/>
        <v>4</v>
      </c>
      <c r="F43" s="9">
        <f t="shared" ca="1" si="18"/>
        <v>15</v>
      </c>
      <c r="G43" s="8"/>
    </row>
    <row r="44" spans="1:7" x14ac:dyDescent="0.35">
      <c r="D44" s="4">
        <v>17</v>
      </c>
      <c r="E44" s="4">
        <v>10</v>
      </c>
      <c r="F44" s="4">
        <v>10</v>
      </c>
      <c r="G44" s="23" t="s">
        <v>37</v>
      </c>
    </row>
  </sheetData>
  <mergeCells count="1">
    <mergeCell ref="A37:D37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3CC59-4D47-4BE7-AC42-1DF9FFF5BB80}">
  <dimension ref="A1:C8"/>
  <sheetViews>
    <sheetView workbookViewId="0">
      <selection activeCell="F6" sqref="F6"/>
    </sheetView>
  </sheetViews>
  <sheetFormatPr defaultRowHeight="14.5" x14ac:dyDescent="0.35"/>
  <cols>
    <col min="1" max="1" width="12.26953125" customWidth="1"/>
    <col min="2" max="2" width="20.26953125" style="2" customWidth="1"/>
    <col min="3" max="3" width="12.36328125" bestFit="1" customWidth="1"/>
  </cols>
  <sheetData>
    <row r="1" spans="1:3" x14ac:dyDescent="0.35">
      <c r="A1" s="9" t="s">
        <v>40</v>
      </c>
      <c r="B1" s="9" t="s">
        <v>38</v>
      </c>
      <c r="C1" s="9" t="s">
        <v>39</v>
      </c>
    </row>
    <row r="2" spans="1:3" x14ac:dyDescent="0.35">
      <c r="A2" s="11">
        <v>45840</v>
      </c>
      <c r="B2" s="9">
        <f>WEEKDAY(A2)</f>
        <v>4</v>
      </c>
      <c r="C2" s="9">
        <f>WEEKNUM(A2)</f>
        <v>27</v>
      </c>
    </row>
    <row r="3" spans="1:3" x14ac:dyDescent="0.35">
      <c r="A3" s="11">
        <f ca="1">TODAY()</f>
        <v>46077</v>
      </c>
      <c r="B3" s="9">
        <f ca="1">WEEKDAY(A3)</f>
        <v>3</v>
      </c>
      <c r="C3" s="9">
        <f t="shared" ref="C3:C8" ca="1" si="0">WEEKNUM(A3)</f>
        <v>9</v>
      </c>
    </row>
    <row r="4" spans="1:3" x14ac:dyDescent="0.35">
      <c r="A4" s="11">
        <v>46075</v>
      </c>
      <c r="B4" s="9">
        <f t="shared" ref="B4:B8" si="1">WEEKDAY(A4)</f>
        <v>1</v>
      </c>
      <c r="C4" s="9">
        <f t="shared" si="0"/>
        <v>9</v>
      </c>
    </row>
    <row r="5" spans="1:3" x14ac:dyDescent="0.35">
      <c r="A5" s="11">
        <v>46077</v>
      </c>
      <c r="B5" s="9">
        <f t="shared" si="1"/>
        <v>3</v>
      </c>
      <c r="C5" s="9">
        <f t="shared" si="0"/>
        <v>9</v>
      </c>
    </row>
    <row r="6" spans="1:3" x14ac:dyDescent="0.35">
      <c r="A6" s="11">
        <v>46053</v>
      </c>
      <c r="B6" s="9">
        <f t="shared" si="1"/>
        <v>7</v>
      </c>
      <c r="C6" s="9">
        <f t="shared" si="0"/>
        <v>5</v>
      </c>
    </row>
    <row r="7" spans="1:3" x14ac:dyDescent="0.35">
      <c r="A7" s="11">
        <v>46387</v>
      </c>
      <c r="B7" s="9">
        <f t="shared" si="1"/>
        <v>5</v>
      </c>
      <c r="C7" s="24">
        <f t="shared" si="0"/>
        <v>53</v>
      </c>
    </row>
    <row r="8" spans="1:3" x14ac:dyDescent="0.35">
      <c r="A8" s="11">
        <v>45657</v>
      </c>
      <c r="B8" s="9">
        <f t="shared" si="1"/>
        <v>3</v>
      </c>
      <c r="C8" s="24">
        <f t="shared" si="0"/>
        <v>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35E67-61EF-4772-9C6D-827D21F1B319}">
  <dimension ref="A1:C5"/>
  <sheetViews>
    <sheetView workbookViewId="0">
      <selection activeCell="C8" sqref="C8"/>
    </sheetView>
  </sheetViews>
  <sheetFormatPr defaultRowHeight="14.5" x14ac:dyDescent="0.35"/>
  <cols>
    <col min="1" max="1" width="12.1796875" customWidth="1"/>
    <col min="2" max="2" width="16.26953125" bestFit="1" customWidth="1"/>
    <col min="3" max="3" width="14.6328125" customWidth="1"/>
  </cols>
  <sheetData>
    <row r="1" spans="1:3" x14ac:dyDescent="0.35">
      <c r="A1" s="9" t="s">
        <v>41</v>
      </c>
      <c r="B1" s="9" t="s">
        <v>43</v>
      </c>
      <c r="C1" s="9" t="s">
        <v>42</v>
      </c>
    </row>
    <row r="2" spans="1:3" x14ac:dyDescent="0.35">
      <c r="A2" s="11">
        <v>46023</v>
      </c>
      <c r="B2" s="26">
        <v>12</v>
      </c>
      <c r="C2" s="25">
        <f>WORKDAY(A2,B2)</f>
        <v>46041</v>
      </c>
    </row>
    <row r="3" spans="1:3" x14ac:dyDescent="0.35">
      <c r="A3" s="11">
        <v>46076</v>
      </c>
      <c r="B3" s="26">
        <v>30</v>
      </c>
      <c r="C3" s="25">
        <f>WORKDAY(A3,B3)</f>
        <v>46118</v>
      </c>
    </row>
    <row r="4" spans="1:3" x14ac:dyDescent="0.35">
      <c r="A4" s="11">
        <v>45658</v>
      </c>
      <c r="B4" s="26">
        <v>365</v>
      </c>
      <c r="C4" s="25">
        <f t="shared" ref="C4:C5" si="0">WORKDAY(A4,B4)</f>
        <v>46169</v>
      </c>
    </row>
    <row r="5" spans="1:3" x14ac:dyDescent="0.35">
      <c r="A5" s="11">
        <v>45658</v>
      </c>
      <c r="B5" s="26">
        <v>135</v>
      </c>
      <c r="C5" s="25">
        <f t="shared" si="0"/>
        <v>45847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68401-4168-4F86-A3FA-81A28A126A80}">
  <dimension ref="A1"/>
  <sheetViews>
    <sheetView topLeftCell="A4" workbookViewId="0">
      <selection activeCell="F4" sqref="F4"/>
    </sheetView>
  </sheetViews>
  <sheetFormatPr defaultRowHeight="14.5" x14ac:dyDescent="0.3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B5C4D-8312-4838-BD39-B92358A882AA}">
  <dimension ref="A1:D11"/>
  <sheetViews>
    <sheetView tabSelected="1" workbookViewId="0">
      <selection activeCell="I9" sqref="I9"/>
    </sheetView>
  </sheetViews>
  <sheetFormatPr defaultRowHeight="14.5" x14ac:dyDescent="0.35"/>
  <cols>
    <col min="1" max="1" width="14" style="29" bestFit="1" customWidth="1"/>
    <col min="2" max="2" width="22.08984375" style="29" customWidth="1"/>
    <col min="3" max="3" width="17.08984375" style="29" bestFit="1" customWidth="1"/>
    <col min="4" max="4" width="13.1796875" style="2" bestFit="1" customWidth="1"/>
    <col min="5" max="16384" width="8.7265625" style="29"/>
  </cols>
  <sheetData>
    <row r="1" spans="1:4" x14ac:dyDescent="0.35">
      <c r="A1" s="28" t="s">
        <v>44</v>
      </c>
      <c r="B1" s="28" t="s">
        <v>45</v>
      </c>
      <c r="C1" s="28" t="s">
        <v>40</v>
      </c>
      <c r="D1" s="28" t="s">
        <v>56</v>
      </c>
    </row>
    <row r="2" spans="1:4" x14ac:dyDescent="0.35">
      <c r="A2" s="30" t="s">
        <v>46</v>
      </c>
      <c r="B2" s="31">
        <v>45717.354166666664</v>
      </c>
      <c r="C2" s="32">
        <f>INT(B2)</f>
        <v>45717</v>
      </c>
      <c r="D2" s="33">
        <f>B2-C2</f>
        <v>0.35416666666424135</v>
      </c>
    </row>
    <row r="3" spans="1:4" x14ac:dyDescent="0.35">
      <c r="A3" s="30" t="s">
        <v>47</v>
      </c>
      <c r="B3" s="31">
        <v>45719.614583333336</v>
      </c>
      <c r="C3" s="32">
        <f t="shared" ref="C3:C11" si="0">INT(B3)</f>
        <v>45719</v>
      </c>
      <c r="D3" s="33">
        <f t="shared" ref="D3:D11" si="1">B3-C3</f>
        <v>0.61458333333575865</v>
      </c>
    </row>
    <row r="4" spans="1:4" x14ac:dyDescent="0.35">
      <c r="A4" s="30" t="s">
        <v>48</v>
      </c>
      <c r="B4" s="31">
        <v>45721.385416666664</v>
      </c>
      <c r="C4" s="32">
        <f t="shared" si="0"/>
        <v>45721</v>
      </c>
      <c r="D4" s="33">
        <f t="shared" si="1"/>
        <v>0.38541666666424135</v>
      </c>
    </row>
    <row r="5" spans="1:4" x14ac:dyDescent="0.35">
      <c r="A5" s="30" t="s">
        <v>49</v>
      </c>
      <c r="B5" s="31">
        <v>45723.666666666664</v>
      </c>
      <c r="C5" s="32">
        <f t="shared" si="0"/>
        <v>45723</v>
      </c>
      <c r="D5" s="33">
        <f t="shared" si="1"/>
        <v>0.66666666666424135</v>
      </c>
    </row>
    <row r="6" spans="1:4" x14ac:dyDescent="0.35">
      <c r="A6" s="30" t="s">
        <v>50</v>
      </c>
      <c r="B6" s="31">
        <v>45726.458333333336</v>
      </c>
      <c r="C6" s="32">
        <f t="shared" si="0"/>
        <v>45726</v>
      </c>
      <c r="D6" s="33">
        <f t="shared" si="1"/>
        <v>0.45833333333575865</v>
      </c>
    </row>
    <row r="7" spans="1:4" x14ac:dyDescent="0.35">
      <c r="A7" s="30" t="s">
        <v>51</v>
      </c>
      <c r="B7" s="31">
        <v>45728.5625</v>
      </c>
      <c r="C7" s="32">
        <f t="shared" si="0"/>
        <v>45728</v>
      </c>
      <c r="D7" s="33">
        <f t="shared" si="1"/>
        <v>0.5625</v>
      </c>
    </row>
    <row r="8" spans="1:4" x14ac:dyDescent="0.35">
      <c r="A8" s="30" t="s">
        <v>52</v>
      </c>
      <c r="B8" s="31">
        <v>45731.291666666664</v>
      </c>
      <c r="C8" s="32">
        <f t="shared" si="0"/>
        <v>45731</v>
      </c>
      <c r="D8" s="33">
        <f t="shared" si="1"/>
        <v>0.29166666666424135</v>
      </c>
    </row>
    <row r="9" spans="1:4" x14ac:dyDescent="0.35">
      <c r="A9" s="30" t="s">
        <v>53</v>
      </c>
      <c r="B9" s="31">
        <v>45734.760416666664</v>
      </c>
      <c r="C9" s="32">
        <f t="shared" si="0"/>
        <v>45734</v>
      </c>
      <c r="D9" s="33">
        <f t="shared" si="1"/>
        <v>0.76041666666424135</v>
      </c>
    </row>
    <row r="10" spans="1:4" x14ac:dyDescent="0.35">
      <c r="A10" s="30" t="s">
        <v>54</v>
      </c>
      <c r="B10" s="31">
        <v>45736.447916666664</v>
      </c>
      <c r="C10" s="32">
        <f t="shared" si="0"/>
        <v>45736</v>
      </c>
      <c r="D10" s="33">
        <f t="shared" si="1"/>
        <v>0.44791666666424135</v>
      </c>
    </row>
    <row r="11" spans="1:4" x14ac:dyDescent="0.35">
      <c r="A11" s="30" t="s">
        <v>55</v>
      </c>
      <c r="B11" s="31">
        <v>45741.645833333336</v>
      </c>
      <c r="C11" s="32">
        <f t="shared" si="0"/>
        <v>45741</v>
      </c>
      <c r="D11" s="33">
        <f t="shared" si="1"/>
        <v>0.64583333333575865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Today</vt:lpstr>
      <vt:lpstr>Now</vt:lpstr>
      <vt:lpstr>DAte</vt:lpstr>
      <vt:lpstr>DayMonthYear</vt:lpstr>
      <vt:lpstr>SerialNumber</vt:lpstr>
      <vt:lpstr>EDate</vt:lpstr>
      <vt:lpstr>DateDif</vt:lpstr>
      <vt:lpstr>WeekDayAndWeekNumber</vt:lpstr>
      <vt:lpstr>WorkDay</vt:lpstr>
      <vt:lpstr>NetWorkingDays</vt:lpstr>
      <vt:lpstr>DateAndTime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2026-02-19T10:56:34Z</dcterms:created>
  <dcterms:modified xsi:type="dcterms:W3CDTF">2026-02-24T11:10:08Z</dcterms:modified>
</cp:coreProperties>
</file>