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F630C9FC-3449-4473-88F3-C1E41FBF828F}" xr6:coauthVersionLast="37" xr6:coauthVersionMax="37" xr10:uidLastSave="{00000000-0000-0000-0000-000000000000}"/>
  <bookViews>
    <workbookView xWindow="0" yWindow="0" windowWidth="13660" windowHeight="5420" firstSheet="1" activeTab="8" xr2:uid="{45DCA121-BD63-4B68-B854-79B4E3B5D979}"/>
  </bookViews>
  <sheets>
    <sheet name="Static&amp;DynamicFormulas" sheetId="1" r:id="rId1"/>
    <sheet name="AND" sheetId="2" r:id="rId2"/>
    <sheet name="IFAND" sheetId="3" r:id="rId3"/>
    <sheet name="IFOR" sheetId="4" r:id="rId4"/>
    <sheet name="AND|OR" sheetId="5" r:id="rId5"/>
    <sheet name="NOT|OR|AND" sheetId="6" r:id="rId6"/>
    <sheet name="NestedConditions" sheetId="7" r:id="rId7"/>
    <sheet name="IFS" sheetId="8" r:id="rId8"/>
    <sheet name="IFError" sheetId="9" r:id="rId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9" l="1"/>
  <c r="G14" i="9"/>
  <c r="G15" i="9"/>
  <c r="G16" i="9"/>
  <c r="G17" i="9"/>
  <c r="G12" i="9"/>
  <c r="F17" i="9"/>
  <c r="F16" i="9"/>
  <c r="F15" i="9"/>
  <c r="F14" i="9"/>
  <c r="F13" i="9"/>
  <c r="F12" i="9"/>
  <c r="D3" i="9"/>
  <c r="D4" i="9"/>
  <c r="D5" i="9"/>
  <c r="D6" i="9"/>
  <c r="D2" i="9"/>
  <c r="E3" i="9"/>
  <c r="E4" i="9"/>
  <c r="E5" i="9"/>
  <c r="E6" i="9"/>
  <c r="E2" i="9"/>
  <c r="D3" i="8"/>
  <c r="D4" i="8"/>
  <c r="D5" i="8"/>
  <c r="D6" i="8"/>
  <c r="D7" i="8"/>
  <c r="D8" i="8"/>
  <c r="D9" i="8"/>
  <c r="D10" i="8"/>
  <c r="D11" i="8"/>
  <c r="D12" i="8"/>
  <c r="D13" i="8"/>
  <c r="D2" i="8"/>
  <c r="C3" i="8"/>
  <c r="C4" i="8"/>
  <c r="C5" i="8"/>
  <c r="C6" i="8"/>
  <c r="C7" i="8"/>
  <c r="C8" i="8"/>
  <c r="C9" i="8"/>
  <c r="C10" i="8"/>
  <c r="C11" i="8"/>
  <c r="C12" i="8"/>
  <c r="C13" i="8"/>
  <c r="C2" i="8"/>
  <c r="F3" i="7"/>
  <c r="F4" i="7"/>
  <c r="F5" i="7"/>
  <c r="F6" i="7"/>
  <c r="F7" i="7"/>
  <c r="F2" i="7"/>
  <c r="E2" i="7"/>
  <c r="E3" i="7"/>
  <c r="E4" i="7"/>
  <c r="E5" i="7"/>
  <c r="E6" i="7"/>
  <c r="E7" i="7"/>
  <c r="F3" i="6"/>
  <c r="F4" i="6"/>
  <c r="F5" i="6"/>
  <c r="F6" i="6"/>
  <c r="F2" i="6"/>
  <c r="E3" i="6"/>
  <c r="E4" i="6"/>
  <c r="E5" i="6"/>
  <c r="E6" i="6"/>
  <c r="E2" i="6"/>
  <c r="D2" i="6"/>
  <c r="D6" i="6"/>
  <c r="D5" i="6"/>
  <c r="D4" i="6"/>
  <c r="D3" i="6"/>
  <c r="D6" i="4"/>
  <c r="D3" i="4"/>
  <c r="D4" i="4"/>
  <c r="D5" i="4"/>
  <c r="D2" i="4"/>
  <c r="D3" i="3" l="1"/>
  <c r="D4" i="3"/>
  <c r="D5" i="3"/>
  <c r="D2" i="3"/>
  <c r="D3" i="2"/>
  <c r="D4" i="2"/>
  <c r="D5" i="2"/>
  <c r="D2" i="2"/>
  <c r="B3" i="1"/>
  <c r="B4" i="1"/>
  <c r="B5" i="1"/>
  <c r="B6" i="1"/>
  <c r="B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<sst xmlns="http://schemas.openxmlformats.org/spreadsheetml/2006/main" count="148" uniqueCount="68">
  <si>
    <t>Price</t>
  </si>
  <si>
    <t>Greater then 1500</t>
  </si>
  <si>
    <t>GreaterThan 1500</t>
  </si>
  <si>
    <t>Comparing Value</t>
  </si>
  <si>
    <t>Name</t>
  </si>
  <si>
    <t>Sub1</t>
  </si>
  <si>
    <t>Sub2</t>
  </si>
  <si>
    <t>Rusult</t>
  </si>
  <si>
    <t>Pavan</t>
  </si>
  <si>
    <t>Kumar</t>
  </si>
  <si>
    <t>Anil</t>
  </si>
  <si>
    <t>Yadav</t>
  </si>
  <si>
    <t>if the student got the marks &gt;= 35 and each Subject  then display true else display false</t>
  </si>
  <si>
    <t>MinimumMarks</t>
  </si>
  <si>
    <t>Rohit</t>
  </si>
  <si>
    <t xml:space="preserve">Condition1 </t>
  </si>
  <si>
    <t>Condition 2</t>
  </si>
  <si>
    <t xml:space="preserve">And Function </t>
  </si>
  <si>
    <t>Or Function</t>
  </si>
  <si>
    <t>Using not and OR</t>
  </si>
  <si>
    <t>Using Not and AND</t>
  </si>
  <si>
    <t>StudentName</t>
  </si>
  <si>
    <t>AdmisionStatus</t>
  </si>
  <si>
    <t>Lab Status</t>
  </si>
  <si>
    <t>StudentStatus</t>
  </si>
  <si>
    <t>Kumr</t>
  </si>
  <si>
    <t>Vani</t>
  </si>
  <si>
    <t>Vinay</t>
  </si>
  <si>
    <t>Yes</t>
  </si>
  <si>
    <t>No</t>
  </si>
  <si>
    <t>Sem Results</t>
  </si>
  <si>
    <t>SemResult</t>
  </si>
  <si>
    <t>Pass</t>
  </si>
  <si>
    <t>Fail</t>
  </si>
  <si>
    <t>EmployeeName</t>
  </si>
  <si>
    <t>Rating</t>
  </si>
  <si>
    <t>Ajay Sharma</t>
  </si>
  <si>
    <t>Aniket Kshirsagar</t>
  </si>
  <si>
    <t>Gopal Bharuka</t>
  </si>
  <si>
    <t>Mahesh Siroya</t>
  </si>
  <si>
    <t>Umesh Siroya</t>
  </si>
  <si>
    <t>Nilesh Jaiswal</t>
  </si>
  <si>
    <t>Palak Bharuka</t>
  </si>
  <si>
    <t>Sonal Agarwal</t>
  </si>
  <si>
    <t>Pandhari Tayde</t>
  </si>
  <si>
    <t>Pramod Pawar</t>
  </si>
  <si>
    <t>Rahul Khandelwal</t>
  </si>
  <si>
    <t>Rahul Mohite</t>
  </si>
  <si>
    <t>Result</t>
  </si>
  <si>
    <t>Condtions</t>
  </si>
  <si>
    <t>Bad</t>
  </si>
  <si>
    <t>&lt;=6</t>
  </si>
  <si>
    <t>Ok</t>
  </si>
  <si>
    <t>&lt;=8</t>
  </si>
  <si>
    <t>Good</t>
  </si>
  <si>
    <t xml:space="preserve">Rating </t>
  </si>
  <si>
    <t>&lt;=10</t>
  </si>
  <si>
    <t>Exclent</t>
  </si>
  <si>
    <t>&lt;=3</t>
  </si>
  <si>
    <t>BadCondtionsUsing</t>
  </si>
  <si>
    <t>Qty</t>
  </si>
  <si>
    <t>Laptop</t>
  </si>
  <si>
    <t>mobile</t>
  </si>
  <si>
    <t>tab</t>
  </si>
  <si>
    <t>swatch</t>
  </si>
  <si>
    <t>mouse</t>
  </si>
  <si>
    <t>Sales In Thousands</t>
  </si>
  <si>
    <t>withoutIfError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</si>
</sst>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22B3-3B75-4638-B565-107426B0ACBB}">
  <dimension ref="A1:E6"/>
  <sheetViews>
    <sheetView workbookViewId="0">
      <selection activeCell="C2" sqref="C2:C6"/>
    </sheetView>
  </sheetViews>
  <sheetFormatPr defaultRowHeight="14.5" x14ac:dyDescent="0.35"/>
  <cols>
    <col min="2" max="2" width="19.6328125" customWidth="1"/>
    <col min="3" max="3" width="15.90625" bestFit="1" customWidth="1"/>
    <col min="5" max="5" width="15.089843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</row>
    <row r="2" spans="1:5" x14ac:dyDescent="0.35">
      <c r="A2" s="1">
        <v>1000</v>
      </c>
      <c r="B2" s="1" t="b">
        <f>A2&gt;1500</f>
        <v>0</v>
      </c>
      <c r="C2" s="1" t="b">
        <f>A2&gt;$E$3</f>
        <v>0</v>
      </c>
      <c r="E2" s="2" t="s">
        <v>3</v>
      </c>
    </row>
    <row r="3" spans="1:5" x14ac:dyDescent="0.35">
      <c r="A3" s="1">
        <v>2500</v>
      </c>
      <c r="B3" s="1" t="b">
        <f t="shared" ref="B3:B6" si="0">A3&gt;1500</f>
        <v>1</v>
      </c>
      <c r="C3" s="1" t="b">
        <f>A3&gt;$E$3</f>
        <v>1</v>
      </c>
      <c r="E3" s="1">
        <v>2300</v>
      </c>
    </row>
    <row r="4" spans="1:5" x14ac:dyDescent="0.35">
      <c r="A4" s="1">
        <v>3000</v>
      </c>
      <c r="B4" s="1" t="b">
        <f t="shared" si="0"/>
        <v>1</v>
      </c>
      <c r="C4" s="1" t="b">
        <f>A4&gt;$E$3</f>
        <v>1</v>
      </c>
    </row>
    <row r="5" spans="1:5" x14ac:dyDescent="0.35">
      <c r="A5" s="1">
        <v>1300</v>
      </c>
      <c r="B5" s="1" t="b">
        <f t="shared" si="0"/>
        <v>0</v>
      </c>
      <c r="C5" s="1" t="b">
        <f>A5&gt;$E$3</f>
        <v>0</v>
      </c>
    </row>
    <row r="6" spans="1:5" x14ac:dyDescent="0.35">
      <c r="A6" s="1">
        <v>1550</v>
      </c>
      <c r="B6" s="1" t="b">
        <f t="shared" si="0"/>
        <v>1</v>
      </c>
      <c r="C6" s="1" t="b">
        <f>A6&gt;$E$3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BD58-EB2F-4B7E-8D09-0D19B8A3E833}">
  <dimension ref="A1:F9"/>
  <sheetViews>
    <sheetView workbookViewId="0">
      <selection sqref="A1:F6"/>
    </sheetView>
  </sheetViews>
  <sheetFormatPr defaultRowHeight="14.5" x14ac:dyDescent="0.35"/>
  <cols>
    <col min="4" max="4" width="10.26953125" customWidth="1"/>
    <col min="6" max="6" width="14.1796875" bestFit="1" customWidth="1"/>
  </cols>
  <sheetData>
    <row r="1" spans="1:6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6" x14ac:dyDescent="0.35">
      <c r="A2" s="1" t="s">
        <v>8</v>
      </c>
      <c r="B2" s="1">
        <v>35</v>
      </c>
      <c r="C2" s="1">
        <v>90</v>
      </c>
      <c r="D2" s="1" t="b">
        <f>AND(B2&gt;=$F$3,C2&gt;=$F$3)</f>
        <v>1</v>
      </c>
      <c r="F2" s="2" t="s">
        <v>13</v>
      </c>
    </row>
    <row r="3" spans="1:6" x14ac:dyDescent="0.35">
      <c r="A3" s="1" t="s">
        <v>9</v>
      </c>
      <c r="B3" s="1">
        <v>34</v>
      </c>
      <c r="C3" s="1">
        <v>35</v>
      </c>
      <c r="D3" s="1" t="b">
        <f t="shared" ref="D3:D5" si="0">AND(B3&gt;=$F$3,C3&gt;=$F$3)</f>
        <v>0</v>
      </c>
      <c r="F3" s="1">
        <v>35</v>
      </c>
    </row>
    <row r="4" spans="1:6" x14ac:dyDescent="0.35">
      <c r="A4" s="1" t="s">
        <v>10</v>
      </c>
      <c r="B4" s="1">
        <v>80</v>
      </c>
      <c r="C4" s="1">
        <v>45</v>
      </c>
      <c r="D4" s="1" t="b">
        <f t="shared" si="0"/>
        <v>1</v>
      </c>
    </row>
    <row r="5" spans="1:6" x14ac:dyDescent="0.35">
      <c r="A5" s="1" t="s">
        <v>11</v>
      </c>
      <c r="B5" s="1">
        <v>90</v>
      </c>
      <c r="C5" s="1">
        <v>56</v>
      </c>
      <c r="D5" s="1" t="b">
        <f t="shared" si="0"/>
        <v>1</v>
      </c>
    </row>
    <row r="9" spans="1:6" x14ac:dyDescent="0.35">
      <c r="C9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416E-9C55-4267-8E5A-767DE0A27456}">
  <dimension ref="A1:F5"/>
  <sheetViews>
    <sheetView workbookViewId="0">
      <selection sqref="A1:F5"/>
    </sheetView>
  </sheetViews>
  <sheetFormatPr defaultRowHeight="14.5" x14ac:dyDescent="0.35"/>
  <cols>
    <col min="4" max="4" width="11.26953125" customWidth="1"/>
    <col min="6" max="6" width="14.1796875" bestFit="1" customWidth="1"/>
  </cols>
  <sheetData>
    <row r="1" spans="1:6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6" x14ac:dyDescent="0.35">
      <c r="A2" s="1" t="s">
        <v>8</v>
      </c>
      <c r="B2" s="1">
        <v>35</v>
      </c>
      <c r="C2" s="1">
        <v>90</v>
      </c>
      <c r="D2" s="1" t="str">
        <f>IF(AND(B2&gt;=$F$3,C2&gt;=$F$3),"Pass","Fail")</f>
        <v>Pass</v>
      </c>
      <c r="F2" s="2" t="s">
        <v>13</v>
      </c>
    </row>
    <row r="3" spans="1:6" x14ac:dyDescent="0.35">
      <c r="A3" s="1" t="s">
        <v>9</v>
      </c>
      <c r="B3" s="1">
        <v>34</v>
      </c>
      <c r="C3" s="1">
        <v>35</v>
      </c>
      <c r="D3" s="1" t="str">
        <f>IF(AND(B3&gt;=$F$3,C3&gt;=$F$3),"Pass","Fail")</f>
        <v>Fail</v>
      </c>
      <c r="F3" s="1">
        <v>35</v>
      </c>
    </row>
    <row r="4" spans="1:6" x14ac:dyDescent="0.35">
      <c r="A4" s="1" t="s">
        <v>10</v>
      </c>
      <c r="B4" s="1">
        <v>80</v>
      </c>
      <c r="C4" s="1">
        <v>45</v>
      </c>
      <c r="D4" s="1" t="str">
        <f>IF(AND(B4&gt;=$F$3,C4&gt;=$F$3),"Pass","Fail")</f>
        <v>Pass</v>
      </c>
    </row>
    <row r="5" spans="1:6" x14ac:dyDescent="0.35">
      <c r="A5" s="1" t="s">
        <v>11</v>
      </c>
      <c r="B5" s="1">
        <v>90</v>
      </c>
      <c r="C5" s="1">
        <v>56</v>
      </c>
      <c r="D5" s="1" t="str">
        <f>IF(AND(B5&gt;=$F$3,C5&gt;=$F$3),"Pass","Fail")</f>
        <v>Pass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E298-8950-4978-90B3-57A023E82F51}">
  <dimension ref="A1:F6"/>
  <sheetViews>
    <sheetView workbookViewId="0">
      <selection sqref="A1:F7"/>
    </sheetView>
  </sheetViews>
  <sheetFormatPr defaultRowHeight="14.5" x14ac:dyDescent="0.35"/>
  <cols>
    <col min="6" max="6" width="14.1796875" bestFit="1" customWidth="1"/>
  </cols>
  <sheetData>
    <row r="1" spans="1:6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6" x14ac:dyDescent="0.35">
      <c r="A2" s="1" t="s">
        <v>8</v>
      </c>
      <c r="B2" s="1">
        <v>35</v>
      </c>
      <c r="C2" s="1">
        <v>90</v>
      </c>
      <c r="D2" s="1" t="str">
        <f>IF(OR(B2&gt;=$F$3,C2&gt;=$F$3),"Pass","Fail")</f>
        <v>Pass</v>
      </c>
      <c r="F2" s="2" t="s">
        <v>13</v>
      </c>
    </row>
    <row r="3" spans="1:6" x14ac:dyDescent="0.35">
      <c r="A3" s="1" t="s">
        <v>9</v>
      </c>
      <c r="B3" s="1">
        <v>34</v>
      </c>
      <c r="C3" s="1">
        <v>35</v>
      </c>
      <c r="D3" s="1" t="str">
        <f t="shared" ref="D3:D6" si="0">IF(OR(B3&gt;=$F$3,C3&gt;=$F$3),"Pass","Fail")</f>
        <v>Pass</v>
      </c>
      <c r="F3" s="1">
        <v>35</v>
      </c>
    </row>
    <row r="4" spans="1:6" x14ac:dyDescent="0.35">
      <c r="A4" s="1" t="s">
        <v>10</v>
      </c>
      <c r="B4" s="1">
        <v>80</v>
      </c>
      <c r="C4" s="1">
        <v>45</v>
      </c>
      <c r="D4" s="1" t="str">
        <f t="shared" si="0"/>
        <v>Pass</v>
      </c>
    </row>
    <row r="5" spans="1:6" x14ac:dyDescent="0.35">
      <c r="A5" s="1" t="s">
        <v>11</v>
      </c>
      <c r="B5" s="1">
        <v>90</v>
      </c>
      <c r="C5" s="1">
        <v>56</v>
      </c>
      <c r="D5" s="1" t="str">
        <f t="shared" si="0"/>
        <v>Pass</v>
      </c>
    </row>
    <row r="6" spans="1:6" x14ac:dyDescent="0.35">
      <c r="A6" s="3" t="s">
        <v>14</v>
      </c>
      <c r="B6" s="3">
        <v>34</v>
      </c>
      <c r="C6" s="3">
        <v>30</v>
      </c>
      <c r="D6" s="3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F451-5303-49C7-9880-993AC7A89D8A}">
  <dimension ref="A1:D5"/>
  <sheetViews>
    <sheetView workbookViewId="0">
      <selection activeCell="H6" sqref="H6"/>
    </sheetView>
  </sheetViews>
  <sheetFormatPr defaultRowHeight="14.5" x14ac:dyDescent="0.35"/>
  <cols>
    <col min="1" max="2" width="10.36328125" bestFit="1" customWidth="1"/>
    <col min="3" max="3" width="12.26953125" bestFit="1" customWidth="1"/>
    <col min="4" max="4" width="10.54296875" bestFit="1" customWidth="1"/>
  </cols>
  <sheetData>
    <row r="1" spans="1:4" x14ac:dyDescent="0.35">
      <c r="A1" s="4" t="s">
        <v>15</v>
      </c>
      <c r="B1" s="4" t="s">
        <v>16</v>
      </c>
      <c r="C1" s="4" t="s">
        <v>17</v>
      </c>
      <c r="D1" s="4" t="s">
        <v>18</v>
      </c>
    </row>
    <row r="2" spans="1:4" x14ac:dyDescent="0.35">
      <c r="A2" s="5" t="b">
        <v>1</v>
      </c>
      <c r="B2" s="5" t="b">
        <v>1</v>
      </c>
      <c r="C2" s="5" t="b">
        <v>1</v>
      </c>
      <c r="D2" s="5" t="b">
        <v>1</v>
      </c>
    </row>
    <row r="3" spans="1:4" x14ac:dyDescent="0.35">
      <c r="A3" s="5" t="b">
        <v>1</v>
      </c>
      <c r="B3" s="5" t="b">
        <v>0</v>
      </c>
      <c r="C3" s="5" t="b">
        <v>0</v>
      </c>
      <c r="D3" s="5" t="b">
        <v>1</v>
      </c>
    </row>
    <row r="4" spans="1:4" x14ac:dyDescent="0.35">
      <c r="A4" s="5" t="b">
        <v>0</v>
      </c>
      <c r="B4" s="5" t="b">
        <v>1</v>
      </c>
      <c r="C4" s="5" t="b">
        <v>0</v>
      </c>
      <c r="D4" s="5" t="b">
        <v>1</v>
      </c>
    </row>
    <row r="5" spans="1:4" x14ac:dyDescent="0.35">
      <c r="A5" s="5" t="b">
        <v>0</v>
      </c>
      <c r="B5" s="5" t="b">
        <v>0</v>
      </c>
      <c r="C5" s="5" t="b">
        <v>0</v>
      </c>
      <c r="D5" s="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0837-E5D4-4CB8-9F33-A6A79CFF1BB8}">
  <dimension ref="A1:G6"/>
  <sheetViews>
    <sheetView workbookViewId="0">
      <selection activeCell="F12" sqref="F12"/>
    </sheetView>
  </sheetViews>
  <sheetFormatPr defaultRowHeight="14.5" x14ac:dyDescent="0.35"/>
  <cols>
    <col min="4" max="4" width="13.81640625" customWidth="1"/>
    <col min="5" max="5" width="15.1796875" customWidth="1"/>
    <col min="6" max="6" width="16.7265625" bestFit="1" customWidth="1"/>
    <col min="7" max="7" width="14.1796875" bestFit="1" customWidth="1"/>
  </cols>
  <sheetData>
    <row r="1" spans="1:7" x14ac:dyDescent="0.35">
      <c r="A1" s="2" t="s">
        <v>4</v>
      </c>
      <c r="B1" s="2" t="s">
        <v>5</v>
      </c>
      <c r="C1" s="2" t="s">
        <v>6</v>
      </c>
      <c r="D1" s="2" t="s">
        <v>7</v>
      </c>
      <c r="E1" s="6" t="s">
        <v>19</v>
      </c>
      <c r="F1" s="7" t="s">
        <v>20</v>
      </c>
    </row>
    <row r="2" spans="1:7" x14ac:dyDescent="0.35">
      <c r="A2" s="1" t="s">
        <v>8</v>
      </c>
      <c r="B2" s="1">
        <v>35</v>
      </c>
      <c r="C2" s="1">
        <v>90</v>
      </c>
      <c r="D2" s="1" t="str">
        <f>IF(OR(B2&gt;=$G$3,C2&gt;=$G$3),"Pass","Fail")</f>
        <v>Pass</v>
      </c>
      <c r="E2" s="1" t="str">
        <f>IF(NOT(OR(B2&gt;=$G$3,C2&gt;=$G$3)),"Pass","Fail")</f>
        <v>Fail</v>
      </c>
      <c r="F2" s="1" t="str">
        <f>IF(NOT(AND(B2&gt;=$G$3,C2&gt;=$G$3)),"Pass","Fail")</f>
        <v>Fail</v>
      </c>
      <c r="G2" s="2" t="s">
        <v>13</v>
      </c>
    </row>
    <row r="3" spans="1:7" x14ac:dyDescent="0.35">
      <c r="A3" s="1" t="s">
        <v>9</v>
      </c>
      <c r="B3" s="1">
        <v>34</v>
      </c>
      <c r="C3" s="1">
        <v>35</v>
      </c>
      <c r="D3" s="1" t="str">
        <f t="shared" ref="D3:D6" si="0">IF(OR(B3&gt;=$G$3,C3&gt;=$G$3),"Pass","Fail")</f>
        <v>Pass</v>
      </c>
      <c r="E3" s="1" t="str">
        <f t="shared" ref="E3:E6" si="1">IF(NOT(OR(B3&gt;=$G$3,C3&gt;=$G$3)),"Pass","Fail")</f>
        <v>Fail</v>
      </c>
      <c r="F3" s="1" t="str">
        <f>IF(NOT(AND(B3&gt;=$G$3,C3&gt;=$G$3)),"Pass","Fail")</f>
        <v>Pass</v>
      </c>
      <c r="G3" s="1">
        <v>35</v>
      </c>
    </row>
    <row r="4" spans="1:7" x14ac:dyDescent="0.35">
      <c r="A4" s="1" t="s">
        <v>10</v>
      </c>
      <c r="B4" s="1">
        <v>80</v>
      </c>
      <c r="C4" s="1">
        <v>45</v>
      </c>
      <c r="D4" s="1" t="str">
        <f t="shared" si="0"/>
        <v>Pass</v>
      </c>
      <c r="E4" s="1" t="str">
        <f t="shared" si="1"/>
        <v>Fail</v>
      </c>
      <c r="F4" s="1" t="str">
        <f t="shared" ref="F3:F6" si="2">IF(NOT(AND(B4&gt;=$G$3,C4&gt;=$G$3)),"Pass","Fail")</f>
        <v>Fail</v>
      </c>
    </row>
    <row r="5" spans="1:7" x14ac:dyDescent="0.35">
      <c r="A5" s="1" t="s">
        <v>11</v>
      </c>
      <c r="B5" s="1">
        <v>90</v>
      </c>
      <c r="C5" s="1">
        <v>56</v>
      </c>
      <c r="D5" s="1" t="str">
        <f t="shared" si="0"/>
        <v>Pass</v>
      </c>
      <c r="E5" s="1" t="str">
        <f t="shared" si="1"/>
        <v>Fail</v>
      </c>
      <c r="F5" s="1" t="str">
        <f t="shared" si="2"/>
        <v>Fail</v>
      </c>
    </row>
    <row r="6" spans="1:7" x14ac:dyDescent="0.35">
      <c r="A6" s="3" t="s">
        <v>14</v>
      </c>
      <c r="B6" s="3">
        <v>34</v>
      </c>
      <c r="C6" s="3">
        <v>30</v>
      </c>
      <c r="D6" s="3" t="str">
        <f t="shared" si="0"/>
        <v>Fail</v>
      </c>
      <c r="E6" s="1" t="str">
        <f t="shared" si="1"/>
        <v>Pass</v>
      </c>
      <c r="F6" s="1" t="str">
        <f t="shared" si="2"/>
        <v>Pass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47CD-FC93-4B84-8A30-BFEA2F96212B}">
  <dimension ref="A1:F8"/>
  <sheetViews>
    <sheetView workbookViewId="0">
      <selection sqref="A1:F8"/>
    </sheetView>
  </sheetViews>
  <sheetFormatPr defaultRowHeight="14.5" x14ac:dyDescent="0.35"/>
  <cols>
    <col min="1" max="1" width="12.1796875" bestFit="1" customWidth="1"/>
    <col min="2" max="2" width="13.81640625" bestFit="1" customWidth="1"/>
    <col min="3" max="3" width="12.1796875" customWidth="1"/>
    <col min="4" max="4" width="15.1796875" customWidth="1"/>
    <col min="5" max="5" width="20.7265625" style="10" bestFit="1" customWidth="1"/>
    <col min="6" max="6" width="24.26953125" customWidth="1"/>
  </cols>
  <sheetData>
    <row r="1" spans="1:6" x14ac:dyDescent="0.35">
      <c r="A1" s="11" t="s">
        <v>21</v>
      </c>
      <c r="B1" s="11" t="s">
        <v>22</v>
      </c>
      <c r="C1" s="11" t="s">
        <v>23</v>
      </c>
      <c r="D1" s="11" t="s">
        <v>31</v>
      </c>
      <c r="E1" s="12" t="s">
        <v>24</v>
      </c>
      <c r="F1" s="13" t="s">
        <v>30</v>
      </c>
    </row>
    <row r="2" spans="1:6" x14ac:dyDescent="0.35">
      <c r="A2" s="8" t="s">
        <v>8</v>
      </c>
      <c r="B2" s="8" t="s">
        <v>28</v>
      </c>
      <c r="C2" s="8" t="s">
        <v>28</v>
      </c>
      <c r="D2" s="8" t="s">
        <v>32</v>
      </c>
      <c r="E2" s="9" t="str">
        <f>IF(B2="Yes",IF(C2="Yes","Active","NotActive"),"CompleteYourAdmision")</f>
        <v>Active</v>
      </c>
      <c r="F2" s="9" t="str">
        <f>IF(B2="Yes",IF(C2="Yes",IF(D2="Pass","GoodStudent","NeedsImprovement"),"NotActive"),"CompleteYourAdmision")</f>
        <v>GoodStudent</v>
      </c>
    </row>
    <row r="3" spans="1:6" x14ac:dyDescent="0.35">
      <c r="A3" s="8" t="s">
        <v>25</v>
      </c>
      <c r="B3" s="8" t="s">
        <v>29</v>
      </c>
      <c r="C3" s="8" t="s">
        <v>28</v>
      </c>
      <c r="D3" s="8" t="s">
        <v>33</v>
      </c>
      <c r="E3" s="9" t="str">
        <f t="shared" ref="E3:E7" si="0">IF(B3="Yes",IF(C3="Yes","Active","NotActive"),"CompleteYourAdmision")</f>
        <v>CompleteYourAdmision</v>
      </c>
      <c r="F3" s="9" t="str">
        <f t="shared" ref="F3:F7" si="1">IF(B3="Yes",IF(C3="Yes",IF(D3="Pass","GoodStudent","NeedsImprovement"),"NotActive"),"CompleteYourAdmision")</f>
        <v>CompleteYourAdmision</v>
      </c>
    </row>
    <row r="4" spans="1:6" x14ac:dyDescent="0.35">
      <c r="A4" s="8" t="s">
        <v>11</v>
      </c>
      <c r="B4" s="8" t="s">
        <v>28</v>
      </c>
      <c r="C4" s="8" t="s">
        <v>29</v>
      </c>
      <c r="D4" s="8" t="s">
        <v>32</v>
      </c>
      <c r="E4" s="9" t="str">
        <f t="shared" si="0"/>
        <v>NotActive</v>
      </c>
      <c r="F4" s="9" t="str">
        <f t="shared" si="1"/>
        <v>NotActive</v>
      </c>
    </row>
    <row r="5" spans="1:6" x14ac:dyDescent="0.35">
      <c r="A5" s="8" t="s">
        <v>10</v>
      </c>
      <c r="B5" s="8" t="s">
        <v>28</v>
      </c>
      <c r="C5" s="8" t="s">
        <v>29</v>
      </c>
      <c r="D5" s="8" t="s">
        <v>32</v>
      </c>
      <c r="E5" s="9" t="str">
        <f t="shared" si="0"/>
        <v>NotActive</v>
      </c>
      <c r="F5" s="9" t="str">
        <f t="shared" si="1"/>
        <v>NotActive</v>
      </c>
    </row>
    <row r="6" spans="1:6" x14ac:dyDescent="0.35">
      <c r="A6" s="8" t="s">
        <v>26</v>
      </c>
      <c r="B6" s="8" t="s">
        <v>29</v>
      </c>
      <c r="C6" s="8" t="s">
        <v>28</v>
      </c>
      <c r="D6" s="8" t="s">
        <v>32</v>
      </c>
      <c r="E6" s="9" t="str">
        <f t="shared" si="0"/>
        <v>CompleteYourAdmision</v>
      </c>
      <c r="F6" s="9" t="str">
        <f t="shared" si="1"/>
        <v>CompleteYourAdmision</v>
      </c>
    </row>
    <row r="7" spans="1:6" x14ac:dyDescent="0.35">
      <c r="A7" s="8" t="s">
        <v>27</v>
      </c>
      <c r="B7" s="8" t="s">
        <v>28</v>
      </c>
      <c r="C7" s="8" t="s">
        <v>28</v>
      </c>
      <c r="D7" s="8" t="s">
        <v>33</v>
      </c>
      <c r="E7" s="9" t="str">
        <f t="shared" si="0"/>
        <v>Active</v>
      </c>
      <c r="F7" s="9" t="str">
        <f t="shared" si="1"/>
        <v>NeedsImprovement</v>
      </c>
    </row>
    <row r="8" spans="1:6" x14ac:dyDescent="0.35">
      <c r="A8" s="8"/>
      <c r="B8" s="8"/>
      <c r="C8" s="8"/>
      <c r="D8" s="8"/>
      <c r="E8" s="9"/>
      <c r="F8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41D1-3919-473B-8A83-F0DD7C45C6EB}">
  <dimension ref="A1:I13"/>
  <sheetViews>
    <sheetView workbookViewId="0">
      <selection activeCell="J10" sqref="J10"/>
    </sheetView>
  </sheetViews>
  <sheetFormatPr defaultRowHeight="14.5" x14ac:dyDescent="0.35"/>
  <cols>
    <col min="1" max="1" width="18.36328125" bestFit="1" customWidth="1"/>
    <col min="3" max="3" width="14.81640625" customWidth="1"/>
    <col min="4" max="4" width="17.1796875" bestFit="1" customWidth="1"/>
    <col min="7" max="7" width="9.26953125" bestFit="1" customWidth="1"/>
  </cols>
  <sheetData>
    <row r="1" spans="1:9" x14ac:dyDescent="0.35">
      <c r="A1" s="11" t="s">
        <v>34</v>
      </c>
      <c r="B1" s="11" t="s">
        <v>35</v>
      </c>
      <c r="C1" s="11" t="s">
        <v>48</v>
      </c>
      <c r="D1" s="13" t="s">
        <v>59</v>
      </c>
    </row>
    <row r="2" spans="1:9" ht="16" x14ac:dyDescent="0.35">
      <c r="A2" s="14" t="s">
        <v>36</v>
      </c>
      <c r="B2" s="8">
        <v>3</v>
      </c>
      <c r="C2" s="8" t="str">
        <f>_xlfn.IFS(B2&lt;=3,"Bad",B2&lt;=6,"Ok",B2&lt;=8,"Good",B2&lt;=10,"Exclent")</f>
        <v>Bad</v>
      </c>
      <c r="D2" s="8" t="str">
        <f>_xlfn.IFS(B2&lt;=10,"Exclent",B2&lt;=6,"Ok",B2&lt;=3,"Bad",B2&lt;=8,"Good")</f>
        <v>Exclent</v>
      </c>
      <c r="G2" s="4" t="s">
        <v>49</v>
      </c>
      <c r="H2" s="5"/>
      <c r="I2" s="5"/>
    </row>
    <row r="3" spans="1:9" ht="16" x14ac:dyDescent="0.35">
      <c r="A3" s="14" t="s">
        <v>37</v>
      </c>
      <c r="B3" s="8">
        <v>5</v>
      </c>
      <c r="C3" s="8" t="str">
        <f t="shared" ref="C3:C13" si="0">_xlfn.IFS(B3&lt;=3,"Bad",B3&lt;=6,"Ok",B3&lt;=8,"Good",B3&lt;=10,"Exclent")</f>
        <v>Ok</v>
      </c>
      <c r="D3" s="8" t="str">
        <f t="shared" ref="D3:D13" si="1">_xlfn.IFS(B3&lt;=10,"Exclent",B3&lt;=6,"Ok",B3&lt;=3,"Bad",B3&lt;=8,"Good")</f>
        <v>Exclent</v>
      </c>
      <c r="G3" s="4" t="s">
        <v>35</v>
      </c>
      <c r="H3" s="5" t="s">
        <v>58</v>
      </c>
      <c r="I3" s="5" t="s">
        <v>50</v>
      </c>
    </row>
    <row r="4" spans="1:9" ht="16" x14ac:dyDescent="0.35">
      <c r="A4" s="14" t="s">
        <v>38</v>
      </c>
      <c r="B4" s="8">
        <v>6</v>
      </c>
      <c r="C4" s="8" t="str">
        <f t="shared" si="0"/>
        <v>Ok</v>
      </c>
      <c r="D4" s="8" t="str">
        <f t="shared" si="1"/>
        <v>Exclent</v>
      </c>
      <c r="G4" s="4" t="s">
        <v>35</v>
      </c>
      <c r="H4" s="5" t="s">
        <v>51</v>
      </c>
      <c r="I4" s="5" t="s">
        <v>52</v>
      </c>
    </row>
    <row r="5" spans="1:9" ht="16" x14ac:dyDescent="0.35">
      <c r="A5" s="14" t="s">
        <v>39</v>
      </c>
      <c r="B5" s="8">
        <v>8</v>
      </c>
      <c r="C5" s="8" t="str">
        <f t="shared" si="0"/>
        <v>Good</v>
      </c>
      <c r="D5" s="8" t="str">
        <f t="shared" si="1"/>
        <v>Exclent</v>
      </c>
      <c r="G5" s="4" t="s">
        <v>35</v>
      </c>
      <c r="H5" s="5" t="s">
        <v>53</v>
      </c>
      <c r="I5" s="5" t="s">
        <v>54</v>
      </c>
    </row>
    <row r="6" spans="1:9" ht="16" x14ac:dyDescent="0.35">
      <c r="A6" s="14" t="s">
        <v>40</v>
      </c>
      <c r="B6" s="8">
        <v>9</v>
      </c>
      <c r="C6" s="8" t="str">
        <f t="shared" si="0"/>
        <v>Exclent</v>
      </c>
      <c r="D6" s="8" t="str">
        <f t="shared" si="1"/>
        <v>Exclent</v>
      </c>
      <c r="G6" s="4" t="s">
        <v>55</v>
      </c>
      <c r="H6" s="5" t="s">
        <v>56</v>
      </c>
      <c r="I6" s="5" t="s">
        <v>57</v>
      </c>
    </row>
    <row r="7" spans="1:9" ht="16" x14ac:dyDescent="0.35">
      <c r="A7" s="14" t="s">
        <v>41</v>
      </c>
      <c r="B7" s="8">
        <v>1</v>
      </c>
      <c r="C7" s="8" t="str">
        <f t="shared" si="0"/>
        <v>Bad</v>
      </c>
      <c r="D7" s="8" t="str">
        <f t="shared" si="1"/>
        <v>Exclent</v>
      </c>
    </row>
    <row r="8" spans="1:9" ht="16" x14ac:dyDescent="0.35">
      <c r="A8" s="14" t="s">
        <v>42</v>
      </c>
      <c r="B8" s="8">
        <v>5</v>
      </c>
      <c r="C8" s="8" t="str">
        <f t="shared" si="0"/>
        <v>Ok</v>
      </c>
      <c r="D8" s="8" t="str">
        <f t="shared" si="1"/>
        <v>Exclent</v>
      </c>
    </row>
    <row r="9" spans="1:9" ht="16" x14ac:dyDescent="0.35">
      <c r="A9" s="14" t="s">
        <v>43</v>
      </c>
      <c r="B9" s="8">
        <v>6</v>
      </c>
      <c r="C9" s="8" t="str">
        <f t="shared" si="0"/>
        <v>Ok</v>
      </c>
      <c r="D9" s="8" t="str">
        <f t="shared" si="1"/>
        <v>Exclent</v>
      </c>
    </row>
    <row r="10" spans="1:9" ht="16" x14ac:dyDescent="0.35">
      <c r="A10" s="14" t="s">
        <v>44</v>
      </c>
      <c r="B10" s="8">
        <v>2</v>
      </c>
      <c r="C10" s="8" t="str">
        <f t="shared" si="0"/>
        <v>Bad</v>
      </c>
      <c r="D10" s="8" t="str">
        <f t="shared" si="1"/>
        <v>Exclent</v>
      </c>
    </row>
    <row r="11" spans="1:9" ht="16" x14ac:dyDescent="0.35">
      <c r="A11" s="14" t="s">
        <v>45</v>
      </c>
      <c r="B11" s="8">
        <v>4</v>
      </c>
      <c r="C11" s="8" t="str">
        <f t="shared" si="0"/>
        <v>Ok</v>
      </c>
      <c r="D11" s="8" t="str">
        <f t="shared" si="1"/>
        <v>Exclent</v>
      </c>
    </row>
    <row r="12" spans="1:9" ht="16" x14ac:dyDescent="0.35">
      <c r="A12" s="14" t="s">
        <v>46</v>
      </c>
      <c r="B12" s="8">
        <v>8</v>
      </c>
      <c r="C12" s="8" t="str">
        <f t="shared" si="0"/>
        <v>Good</v>
      </c>
      <c r="D12" s="8" t="str">
        <f t="shared" si="1"/>
        <v>Exclent</v>
      </c>
    </row>
    <row r="13" spans="1:9" ht="16" x14ac:dyDescent="0.35">
      <c r="A13" s="14" t="s">
        <v>47</v>
      </c>
      <c r="B13" s="8">
        <v>7</v>
      </c>
      <c r="C13" s="8" t="str">
        <f t="shared" si="0"/>
        <v>Good</v>
      </c>
      <c r="D13" s="8" t="str">
        <f t="shared" si="1"/>
        <v>Exclent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0AE-F967-405D-8B0F-FCF1C9625F75}">
  <dimension ref="A1:G18"/>
  <sheetViews>
    <sheetView tabSelected="1" topLeftCell="B1" workbookViewId="0">
      <selection activeCell="I16" sqref="I16"/>
    </sheetView>
  </sheetViews>
  <sheetFormatPr defaultRowHeight="14.5" x14ac:dyDescent="0.35"/>
  <cols>
    <col min="2" max="2" width="16.7265625" bestFit="1" customWidth="1"/>
    <col min="3" max="3" width="13.81640625" bestFit="1" customWidth="1"/>
    <col min="4" max="4" width="12.7265625" bestFit="1" customWidth="1"/>
    <col min="5" max="5" width="16.1796875" customWidth="1"/>
    <col min="6" max="7" width="20.7265625" bestFit="1" customWidth="1"/>
  </cols>
  <sheetData>
    <row r="1" spans="1:7" x14ac:dyDescent="0.35">
      <c r="A1" s="2" t="s">
        <v>4</v>
      </c>
      <c r="B1" s="2" t="s">
        <v>66</v>
      </c>
      <c r="C1" s="2" t="s">
        <v>60</v>
      </c>
      <c r="D1" s="2" t="s">
        <v>67</v>
      </c>
      <c r="E1" s="2" t="s">
        <v>48</v>
      </c>
    </row>
    <row r="2" spans="1:7" x14ac:dyDescent="0.35">
      <c r="A2" s="1" t="s">
        <v>61</v>
      </c>
      <c r="B2" s="1">
        <v>12</v>
      </c>
      <c r="C2" s="1">
        <v>0</v>
      </c>
      <c r="D2" s="1" t="e">
        <f>B2/C2</f>
        <v>#DIV/0!</v>
      </c>
      <c r="E2" s="1" t="str">
        <f>IFERROR(B2/C2,"InvalidData")</f>
        <v>InvalidData</v>
      </c>
    </row>
    <row r="3" spans="1:7" x14ac:dyDescent="0.35">
      <c r="A3" s="1" t="s">
        <v>62</v>
      </c>
      <c r="B3" s="1">
        <v>30</v>
      </c>
      <c r="C3" s="1">
        <v>1</v>
      </c>
      <c r="D3" s="1">
        <f t="shared" ref="D3:D6" si="0">B3/C3</f>
        <v>30</v>
      </c>
      <c r="E3" s="1">
        <f t="shared" ref="E3:E6" si="1">IFERROR(B3/C3,"InvalidData")</f>
        <v>30</v>
      </c>
    </row>
    <row r="4" spans="1:7" x14ac:dyDescent="0.35">
      <c r="A4" s="1" t="s">
        <v>63</v>
      </c>
      <c r="B4" s="1">
        <v>35</v>
      </c>
      <c r="C4" s="1">
        <v>5</v>
      </c>
      <c r="D4" s="1">
        <f t="shared" si="0"/>
        <v>7</v>
      </c>
      <c r="E4" s="1">
        <f t="shared" si="1"/>
        <v>7</v>
      </c>
    </row>
    <row r="5" spans="1:7" x14ac:dyDescent="0.35">
      <c r="A5" s="1" t="s">
        <v>64</v>
      </c>
      <c r="B5" s="1">
        <v>11</v>
      </c>
      <c r="C5" s="1">
        <v>0</v>
      </c>
      <c r="D5" s="1" t="e">
        <f t="shared" si="0"/>
        <v>#DIV/0!</v>
      </c>
      <c r="E5" s="1" t="str">
        <f t="shared" si="1"/>
        <v>InvalidData</v>
      </c>
    </row>
    <row r="6" spans="1:7" x14ac:dyDescent="0.35">
      <c r="A6" s="1" t="s">
        <v>65</v>
      </c>
      <c r="B6" s="1">
        <v>50</v>
      </c>
      <c r="C6" s="1">
        <v>0</v>
      </c>
      <c r="D6" s="1" t="e">
        <f t="shared" si="0"/>
        <v>#DIV/0!</v>
      </c>
      <c r="E6" s="1" t="str">
        <f t="shared" si="1"/>
        <v>InvalidData</v>
      </c>
    </row>
    <row r="11" spans="1:7" x14ac:dyDescent="0.35">
      <c r="B11" s="11" t="s">
        <v>21</v>
      </c>
      <c r="C11" s="11" t="s">
        <v>22</v>
      </c>
      <c r="D11" s="11" t="s">
        <v>23</v>
      </c>
      <c r="E11" s="11" t="s">
        <v>31</v>
      </c>
      <c r="F11" s="12" t="s">
        <v>24</v>
      </c>
      <c r="G11" s="13" t="s">
        <v>30</v>
      </c>
    </row>
    <row r="12" spans="1:7" x14ac:dyDescent="0.35">
      <c r="B12" s="8" t="s">
        <v>8</v>
      </c>
      <c r="C12" s="8" t="s">
        <v>28</v>
      </c>
      <c r="D12" s="8" t="s">
        <v>28</v>
      </c>
      <c r="E12" s="8" t="s">
        <v>32</v>
      </c>
      <c r="F12" s="9" t="str">
        <f>IF(C12="Yes",IF(D12="Yes","Active","NotActive"),"CompleteYourAdmision")</f>
        <v>Active</v>
      </c>
      <c r="G12" s="9" t="str">
        <f>IFERROR(IF(C12="Yes",IF(D12="Yes",IF(E12="Pass","GoodStudent","NeedsImprovement"),"NotActive"),"CompleteYourAdmision"),"Wronginputs")</f>
        <v>GoodStudent</v>
      </c>
    </row>
    <row r="13" spans="1:7" x14ac:dyDescent="0.35">
      <c r="B13" s="8" t="s">
        <v>25</v>
      </c>
      <c r="C13" s="8" t="s">
        <v>29</v>
      </c>
      <c r="D13" s="8" t="s">
        <v>28</v>
      </c>
      <c r="E13" s="8" t="s">
        <v>33</v>
      </c>
      <c r="F13" s="9" t="str">
        <f t="shared" ref="F13:F17" si="2">IF(C13="Yes",IF(D13="Yes","Active","NotActive"),"CompleteYourAdmision")</f>
        <v>CompleteYourAdmision</v>
      </c>
      <c r="G13" s="9" t="str">
        <f t="shared" ref="G13:G17" si="3">IFERROR(IF(C13="Yes",IF(D13="Yes",IF(E13="Pass","GoodStudent","NeedsImprovement"),"NotActive"),"CompleteYourAdmision"),"Wronginputs")</f>
        <v>CompleteYourAdmision</v>
      </c>
    </row>
    <row r="14" spans="1:7" x14ac:dyDescent="0.35">
      <c r="B14" s="8" t="s">
        <v>11</v>
      </c>
      <c r="C14" s="8" t="s">
        <v>28</v>
      </c>
      <c r="D14" s="8" t="s">
        <v>29</v>
      </c>
      <c r="E14" s="8" t="s">
        <v>32</v>
      </c>
      <c r="F14" s="9" t="str">
        <f t="shared" si="2"/>
        <v>NotActive</v>
      </c>
      <c r="G14" s="9" t="str">
        <f t="shared" si="3"/>
        <v>NotActive</v>
      </c>
    </row>
    <row r="15" spans="1:7" x14ac:dyDescent="0.35">
      <c r="B15" s="8" t="s">
        <v>10</v>
      </c>
      <c r="C15" s="8" t="s">
        <v>28</v>
      </c>
      <c r="D15" s="8" t="s">
        <v>29</v>
      </c>
      <c r="E15" s="8" t="s">
        <v>32</v>
      </c>
      <c r="F15" s="9" t="str">
        <f t="shared" si="2"/>
        <v>NotActive</v>
      </c>
      <c r="G15" s="9" t="str">
        <f t="shared" si="3"/>
        <v>NotActive</v>
      </c>
    </row>
    <row r="16" spans="1:7" x14ac:dyDescent="0.35">
      <c r="B16" s="8" t="s">
        <v>26</v>
      </c>
      <c r="C16" s="8" t="s">
        <v>29</v>
      </c>
      <c r="D16" s="8" t="s">
        <v>28</v>
      </c>
      <c r="E16" s="8" t="s">
        <v>32</v>
      </c>
      <c r="F16" s="9" t="str">
        <f t="shared" si="2"/>
        <v>CompleteYourAdmision</v>
      </c>
      <c r="G16" s="9" t="str">
        <f t="shared" si="3"/>
        <v>CompleteYourAdmision</v>
      </c>
    </row>
    <row r="17" spans="2:7" x14ac:dyDescent="0.35">
      <c r="B17" s="8" t="s">
        <v>27</v>
      </c>
      <c r="C17" s="8" t="s">
        <v>28</v>
      </c>
      <c r="D17" s="8" t="s">
        <v>28</v>
      </c>
      <c r="E17" s="8" t="s">
        <v>33</v>
      </c>
      <c r="F17" s="9" t="str">
        <f t="shared" si="2"/>
        <v>Active</v>
      </c>
      <c r="G17" s="9" t="str">
        <f t="shared" si="3"/>
        <v>NeedsImprovement</v>
      </c>
    </row>
    <row r="18" spans="2:7" x14ac:dyDescent="0.35">
      <c r="B18" s="8"/>
      <c r="C18" s="8"/>
      <c r="D18" s="8"/>
      <c r="E18" s="8"/>
      <c r="F18" s="9"/>
      <c r="G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Static&amp;DynamicFormulas</vt:lpstr>
      <vt:lpstr>AND</vt:lpstr>
      <vt:lpstr>IFAND</vt:lpstr>
      <vt:lpstr>IFOR</vt:lpstr>
      <vt:lpstr>AND|OR</vt:lpstr>
      <vt:lpstr>NOT|OR|AND</vt:lpstr>
      <vt:lpstr>NestedConditions</vt:lpstr>
      <vt:lpstr>IFS</vt:lpstr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2026-02-24T11:13:48Z</dcterms:created>
  <dcterms:modified xsi:type="dcterms:W3CDTF">2026-02-25T12:22:34Z</dcterms:modified>
</cp:coreProperties>
</file>