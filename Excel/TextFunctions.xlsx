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D3667A3C-9CF3-4AD3-B0DA-197FA8D50094}" xr6:coauthVersionLast="37" xr6:coauthVersionMax="37" xr10:uidLastSave="{00000000-0000-0000-0000-000000000000}"/>
  <bookViews>
    <workbookView xWindow="0" yWindow="0" windowWidth="13660" windowHeight="5420" activeTab="4" xr2:uid="{C56D6298-A5F8-42D0-8790-813CC3675681}"/>
  </bookViews>
  <sheets>
    <sheet name="Sheet1" sheetId="1" r:id="rId1"/>
    <sheet name="Sheet2" sheetId="2" r:id="rId2"/>
    <sheet name="Sheet3" sheetId="3" r:id="rId3"/>
    <sheet name="Sheet4" sheetId="4" r:id="rId4"/>
    <sheet name="Task" sheetId="5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" i="4"/>
  <c r="B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G21" i="3"/>
  <c r="G22" i="3"/>
  <c r="G23" i="3"/>
  <c r="G24" i="3"/>
  <c r="F22" i="3"/>
  <c r="F23" i="3"/>
  <c r="F24" i="3"/>
  <c r="F21" i="3"/>
  <c r="E22" i="3"/>
  <c r="E23" i="3"/>
  <c r="E24" i="3"/>
  <c r="E21" i="3"/>
  <c r="D14" i="3"/>
  <c r="D15" i="3"/>
  <c r="D16" i="3"/>
  <c r="D13" i="3"/>
  <c r="E14" i="3"/>
  <c r="E15" i="3"/>
  <c r="E16" i="3"/>
  <c r="E13" i="3"/>
  <c r="J3" i="3"/>
  <c r="J4" i="3"/>
  <c r="J5" i="3"/>
  <c r="J2" i="3"/>
  <c r="I3" i="3"/>
  <c r="I4" i="3"/>
  <c r="I5" i="3"/>
  <c r="I2" i="3"/>
  <c r="G2" i="3"/>
  <c r="F2" i="3"/>
  <c r="E2" i="3"/>
  <c r="H3" i="3"/>
  <c r="H4" i="3"/>
  <c r="H5" i="3"/>
  <c r="H2" i="3"/>
  <c r="G3" i="3"/>
  <c r="G4" i="3"/>
  <c r="G5" i="3"/>
  <c r="F3" i="3"/>
  <c r="F4" i="3"/>
  <c r="F5" i="3"/>
  <c r="E3" i="3"/>
  <c r="E4" i="3"/>
  <c r="E5" i="3"/>
  <c r="D3" i="3"/>
  <c r="D4" i="3"/>
  <c r="D5" i="3"/>
  <c r="D2" i="3"/>
  <c r="H3" i="1"/>
  <c r="I3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F13" i="2" l="1"/>
  <c r="F12" i="2"/>
  <c r="F8" i="2"/>
  <c r="F7" i="2"/>
  <c r="F3" i="2"/>
  <c r="F2" i="2"/>
  <c r="F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</calcChain>
</file>

<file path=xl/sharedStrings.xml><?xml version="1.0" encoding="utf-8"?>
<sst xmlns="http://schemas.openxmlformats.org/spreadsheetml/2006/main" count="157" uniqueCount="98">
  <si>
    <t>ID</t>
  </si>
  <si>
    <t>Name of YouTube Channel</t>
  </si>
  <si>
    <t>Name of the Owner</t>
  </si>
  <si>
    <t>Subscribers in Millions</t>
  </si>
  <si>
    <t>T-serIES</t>
  </si>
  <si>
    <t>Bhushan Kumar</t>
  </si>
  <si>
    <t>SET          India</t>
  </si>
  <si>
    <t>Sony Pictures Network</t>
  </si>
  <si>
    <t>Zee Music company</t>
  </si>
  <si>
    <t>Subhash Chandra</t>
  </si>
  <si>
    <t>Sony Music INDIA</t>
  </si>
  <si>
    <t>Sony Entertainment</t>
  </si>
  <si>
    <t>Aaj Tak</t>
  </si>
  <si>
    <t>India Today Group</t>
  </si>
  <si>
    <t>YRF</t>
  </si>
  <si>
    <t>Yash Raj Films</t>
  </si>
  <si>
    <t>CarryMINATI</t>
  </si>
  <si>
    <t>Ajey Nagar</t>
  </si>
  <si>
    <t>Ashish     Chanchlani Vines</t>
  </si>
  <si>
    <t>Ashish Chanchlani</t>
  </si>
  <si>
    <t>BB Ki Vines</t>
  </si>
  <si>
    <t>Bhuvan Bam</t>
  </si>
  <si>
    <t>Technical           Guruji</t>
  </si>
  <si>
    <t>Gaurav Chaudhary</t>
  </si>
  <si>
    <t>MrBeast</t>
  </si>
  <si>
    <t>Jimmy Donaldson</t>
  </si>
  <si>
    <t>PEwdiePie</t>
  </si>
  <si>
    <t>Felix Kjellberg</t>
  </si>
  <si>
    <t>5-minute CRAFTS</t>
  </si>
  <si>
    <t>THE soul publishing</t>
  </si>
  <si>
    <t>likeNastia</t>
  </si>
  <si>
    <t>anastasia radzinskaya</t>
  </si>
  <si>
    <t>coComelon - Nursery rhymes</t>
  </si>
  <si>
    <t>Jay Jeon</t>
  </si>
  <si>
    <t>Canal             Kondzilla</t>
  </si>
  <si>
    <t>Konrad Dantas</t>
  </si>
  <si>
    <t>kids D Iana Show</t>
  </si>
  <si>
    <t>Diana</t>
  </si>
  <si>
    <t>Badabun</t>
  </si>
  <si>
    <t>Various Contributors</t>
  </si>
  <si>
    <t>VanossGaming</t>
  </si>
  <si>
    <t>Evan Fong</t>
  </si>
  <si>
    <t>Markiplier</t>
  </si>
  <si>
    <t>Mark Fischbach</t>
  </si>
  <si>
    <t>TRIM</t>
  </si>
  <si>
    <t>UpperCase</t>
  </si>
  <si>
    <t>LowerCase</t>
  </si>
  <si>
    <t>Pavan Kumar</t>
  </si>
  <si>
    <t>ProperCase</t>
  </si>
  <si>
    <t>FullName</t>
  </si>
  <si>
    <t>Age</t>
  </si>
  <si>
    <t>Salary</t>
  </si>
  <si>
    <t xml:space="preserve">Requirement </t>
  </si>
  <si>
    <t>FirstName</t>
  </si>
  <si>
    <t>LastName</t>
  </si>
  <si>
    <t>Bharth Kumar Yadav</t>
  </si>
  <si>
    <t>ShivaRama Krishna</t>
  </si>
  <si>
    <t>Length</t>
  </si>
  <si>
    <t>Excel</t>
  </si>
  <si>
    <t>2</t>
  </si>
  <si>
    <t>12-2-2026</t>
  </si>
  <si>
    <t>Kumar</t>
  </si>
  <si>
    <t>Rohit</t>
  </si>
  <si>
    <t>Sharma</t>
  </si>
  <si>
    <t>Virat</t>
  </si>
  <si>
    <t>Kholi</t>
  </si>
  <si>
    <t>Surya</t>
  </si>
  <si>
    <t>Concat</t>
  </si>
  <si>
    <t>Anil</t>
  </si>
  <si>
    <t>Concat with Space</t>
  </si>
  <si>
    <t>TextJoin</t>
  </si>
  <si>
    <t>TextJoinWith#</t>
  </si>
  <si>
    <t>Surname</t>
  </si>
  <si>
    <t>g</t>
  </si>
  <si>
    <t>f</t>
  </si>
  <si>
    <t>TextjoinFalse Case</t>
  </si>
  <si>
    <t>TextjoinTrue Case</t>
  </si>
  <si>
    <t>mail using textJoin</t>
  </si>
  <si>
    <t>using by concat</t>
  </si>
  <si>
    <t>G</t>
  </si>
  <si>
    <t>F</t>
  </si>
  <si>
    <t>Number</t>
  </si>
  <si>
    <t>mailLatfourdigits</t>
  </si>
  <si>
    <t>mailfirstfourdigits</t>
  </si>
  <si>
    <t>mailusingmid</t>
  </si>
  <si>
    <t>Find</t>
  </si>
  <si>
    <t>Search</t>
  </si>
  <si>
    <t>find with two words</t>
  </si>
  <si>
    <t>seach with two characters</t>
  </si>
  <si>
    <t>VArious Contributors</t>
  </si>
  <si>
    <t>Subhash Chandra,r</t>
  </si>
  <si>
    <t>Task</t>
  </si>
  <si>
    <t>Go through the reaming text  functions which is listed below</t>
  </si>
  <si>
    <t>REPLACE</t>
  </si>
  <si>
    <t>SUBSTITUTE</t>
  </si>
  <si>
    <t>EXACT</t>
  </si>
  <si>
    <t>TEXT</t>
  </si>
  <si>
    <t>CONCATENATE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</si>
</sst>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/>
    <xf numFmtId="0" fontId="2" fillId="2" borderId="2" xfId="0" applyFont="1" applyFill="1" applyBorder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14" fontId="0" fillId="0" borderId="0" xfId="0" applyNumberFormat="1" applyAlignment="1"/>
    <xf numFmtId="49" fontId="2" fillId="2" borderId="2" xfId="0" applyNumberFormat="1" applyFont="1" applyFill="1" applyBorder="1" applyAlignment="1">
      <alignment horizontal="center" vertical="center"/>
    </xf>
    <xf numFmtId="49" fontId="0" fillId="0" borderId="0" xfId="0" applyNumberFormat="1" applyAlignment="1"/>
    <xf numFmtId="49" fontId="0" fillId="6" borderId="0" xfId="0" applyNumberFormat="1" applyFill="1" applyAlignment="1"/>
    <xf numFmtId="0" fontId="0" fillId="0" borderId="0" xfId="0" applyAlignment="1">
      <alignment horizontal="left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0BC5A-29F5-481A-A46F-A5FC740149D0}">
  <dimension ref="A1:K23"/>
  <sheetViews>
    <sheetView workbookViewId="0">
      <selection activeCell="C1" sqref="C1:C21"/>
    </sheetView>
  </sheetViews>
  <sheetFormatPr defaultRowHeight="14.5" x14ac:dyDescent="0.35"/>
  <cols>
    <col min="1" max="1" width="14.81640625" style="9" customWidth="1"/>
    <col min="2" max="3" width="28" style="4" customWidth="1"/>
    <col min="4" max="4" width="19.54296875" style="4" bestFit="1" customWidth="1"/>
    <col min="5" max="5" width="25.26953125" style="4" bestFit="1" customWidth="1"/>
    <col min="6" max="6" width="28.90625" style="4" bestFit="1" customWidth="1"/>
    <col min="7" max="7" width="25.7265625" style="4" customWidth="1"/>
    <col min="8" max="8" width="24.453125" style="16" customWidth="1"/>
    <col min="9" max="9" width="25.6328125" style="4" bestFit="1" customWidth="1"/>
    <col min="10" max="10" width="8.7265625" style="4"/>
    <col min="11" max="11" width="10.08984375" style="4" bestFit="1" customWidth="1"/>
    <col min="12" max="16384" width="8.7265625" style="4"/>
  </cols>
  <sheetData>
    <row r="1" spans="1:11" x14ac:dyDescent="0.35">
      <c r="A1" s="3" t="s">
        <v>0</v>
      </c>
      <c r="B1" s="3" t="s">
        <v>1</v>
      </c>
      <c r="C1" s="3" t="s">
        <v>2</v>
      </c>
      <c r="D1" s="1" t="s">
        <v>3</v>
      </c>
      <c r="E1" s="11" t="s">
        <v>44</v>
      </c>
      <c r="F1" s="11" t="s">
        <v>45</v>
      </c>
      <c r="G1" s="11" t="s">
        <v>46</v>
      </c>
      <c r="H1" s="15" t="s">
        <v>48</v>
      </c>
      <c r="I1" s="11" t="s">
        <v>57</v>
      </c>
    </row>
    <row r="2" spans="1:11" x14ac:dyDescent="0.35">
      <c r="A2" s="8">
        <v>1</v>
      </c>
      <c r="B2" s="6" t="s">
        <v>4</v>
      </c>
      <c r="C2" s="7" t="s">
        <v>5</v>
      </c>
      <c r="D2" s="2">
        <v>250</v>
      </c>
      <c r="E2" s="4" t="str">
        <f>TRIM(B2)</f>
        <v>T-serIES</v>
      </c>
      <c r="F2" s="4" t="str">
        <f>UPPER(B2)</f>
        <v>T-SERIES</v>
      </c>
      <c r="G2" s="4" t="str">
        <f>LOWER(B2)</f>
        <v>t-series</v>
      </c>
      <c r="H2" s="16" t="str">
        <f>PROPER(B2)</f>
        <v>T-Series</v>
      </c>
      <c r="I2" s="9">
        <f>LEN(H2)</f>
        <v>8</v>
      </c>
    </row>
    <row r="3" spans="1:11" x14ac:dyDescent="0.35">
      <c r="A3" s="8">
        <v>2</v>
      </c>
      <c r="B3" s="6" t="s">
        <v>6</v>
      </c>
      <c r="C3" s="7" t="s">
        <v>7</v>
      </c>
      <c r="D3" s="2">
        <v>157</v>
      </c>
      <c r="E3" s="10" t="str">
        <f t="shared" ref="E3:E21" si="0">TRIM(B3)</f>
        <v>SET India</v>
      </c>
      <c r="F3" s="4" t="str">
        <f t="shared" ref="F3:F21" si="1">UPPER(B3)</f>
        <v>SET          INDIA</v>
      </c>
      <c r="G3" s="4" t="str">
        <f t="shared" ref="G3:G21" si="2">LOWER(B3)</f>
        <v>set          india</v>
      </c>
      <c r="H3" s="17" t="str">
        <f>PROPER(B3)</f>
        <v>Set          India</v>
      </c>
      <c r="I3" s="13">
        <f t="shared" ref="I3:I21" si="3">LEN(H3)</f>
        <v>18</v>
      </c>
    </row>
    <row r="4" spans="1:11" x14ac:dyDescent="0.35">
      <c r="A4" s="8">
        <v>3</v>
      </c>
      <c r="B4" s="5" t="s">
        <v>8</v>
      </c>
      <c r="C4" s="7" t="s">
        <v>9</v>
      </c>
      <c r="D4" s="2">
        <v>94</v>
      </c>
      <c r="E4" s="4" t="str">
        <f t="shared" si="0"/>
        <v>Zee Music company</v>
      </c>
      <c r="F4" s="4" t="str">
        <f t="shared" si="1"/>
        <v>ZEE MUSIC COMPANY</v>
      </c>
      <c r="G4" s="4" t="str">
        <f t="shared" si="2"/>
        <v>zee music company</v>
      </c>
      <c r="H4" s="16" t="str">
        <f t="shared" ref="H3:H21" si="4">PROPER(B4)</f>
        <v>Zee Music Company</v>
      </c>
      <c r="I4" s="9">
        <f t="shared" si="3"/>
        <v>17</v>
      </c>
    </row>
    <row r="5" spans="1:11" x14ac:dyDescent="0.35">
      <c r="A5" s="8">
        <v>4</v>
      </c>
      <c r="B5" s="5" t="s">
        <v>10</v>
      </c>
      <c r="C5" s="7" t="s">
        <v>11</v>
      </c>
      <c r="D5" s="2">
        <v>52</v>
      </c>
      <c r="E5" s="4" t="str">
        <f t="shared" si="0"/>
        <v>Sony Music INDIA</v>
      </c>
      <c r="F5" s="4" t="str">
        <f t="shared" si="1"/>
        <v>SONY MUSIC INDIA</v>
      </c>
      <c r="G5" s="4" t="str">
        <f t="shared" si="2"/>
        <v>sony music india</v>
      </c>
      <c r="H5" s="16" t="str">
        <f t="shared" si="4"/>
        <v>Sony Music India</v>
      </c>
      <c r="I5" s="9">
        <f t="shared" si="3"/>
        <v>16</v>
      </c>
    </row>
    <row r="6" spans="1:11" x14ac:dyDescent="0.35">
      <c r="A6" s="8">
        <v>5</v>
      </c>
      <c r="B6" s="5" t="s">
        <v>12</v>
      </c>
      <c r="C6" s="7" t="s">
        <v>13</v>
      </c>
      <c r="D6" s="2">
        <v>50</v>
      </c>
      <c r="E6" s="4" t="str">
        <f t="shared" si="0"/>
        <v>Aaj Tak</v>
      </c>
      <c r="F6" s="4" t="str">
        <f t="shared" si="1"/>
        <v>AAJ TAK</v>
      </c>
      <c r="G6" s="4" t="str">
        <f t="shared" si="2"/>
        <v>aaj tak</v>
      </c>
      <c r="H6" s="16" t="str">
        <f t="shared" si="4"/>
        <v>Aaj Tak</v>
      </c>
      <c r="I6" s="9">
        <f t="shared" si="3"/>
        <v>7</v>
      </c>
      <c r="K6" s="14">
        <v>46071</v>
      </c>
    </row>
    <row r="7" spans="1:11" x14ac:dyDescent="0.35">
      <c r="A7" s="8">
        <v>6</v>
      </c>
      <c r="B7" s="5" t="s">
        <v>14</v>
      </c>
      <c r="C7" s="7" t="s">
        <v>15</v>
      </c>
      <c r="D7" s="2">
        <v>45</v>
      </c>
      <c r="E7" s="4" t="str">
        <f t="shared" si="0"/>
        <v>YRF</v>
      </c>
      <c r="F7" s="4" t="str">
        <f t="shared" si="1"/>
        <v>YRF</v>
      </c>
      <c r="G7" s="4" t="str">
        <f t="shared" si="2"/>
        <v>yrf</v>
      </c>
      <c r="H7" s="16" t="str">
        <f t="shared" si="4"/>
        <v>Yrf</v>
      </c>
      <c r="I7" s="9">
        <f t="shared" si="3"/>
        <v>3</v>
      </c>
      <c r="K7" s="4" t="s">
        <v>58</v>
      </c>
    </row>
    <row r="8" spans="1:11" x14ac:dyDescent="0.35">
      <c r="A8" s="8">
        <v>7</v>
      </c>
      <c r="B8" s="6" t="s">
        <v>16</v>
      </c>
      <c r="C8" s="7" t="s">
        <v>17</v>
      </c>
      <c r="D8" s="2">
        <v>40</v>
      </c>
      <c r="E8" s="4" t="str">
        <f t="shared" si="0"/>
        <v>CarryMINATI</v>
      </c>
      <c r="F8" s="4" t="str">
        <f t="shared" si="1"/>
        <v>CARRYMINATI</v>
      </c>
      <c r="G8" s="4" t="str">
        <f t="shared" si="2"/>
        <v>carryminati</v>
      </c>
      <c r="H8" s="16" t="str">
        <f t="shared" si="4"/>
        <v>Carryminati</v>
      </c>
      <c r="I8" s="9">
        <f t="shared" si="3"/>
        <v>11</v>
      </c>
    </row>
    <row r="9" spans="1:11" x14ac:dyDescent="0.35">
      <c r="A9" s="8">
        <v>8</v>
      </c>
      <c r="B9" s="6" t="s">
        <v>18</v>
      </c>
      <c r="C9" s="7" t="s">
        <v>19</v>
      </c>
      <c r="D9" s="2">
        <v>32</v>
      </c>
      <c r="E9" s="4" t="str">
        <f t="shared" si="0"/>
        <v>Ashish Chanchlani Vines</v>
      </c>
      <c r="F9" s="4" t="str">
        <f t="shared" si="1"/>
        <v>ASHISH     CHANCHLANI VINES</v>
      </c>
      <c r="G9" s="4" t="str">
        <f t="shared" si="2"/>
        <v>ashish     chanchlani vines</v>
      </c>
      <c r="H9" s="16" t="str">
        <f t="shared" si="4"/>
        <v>Ashish     Chanchlani Vines</v>
      </c>
      <c r="I9" s="9">
        <f t="shared" si="3"/>
        <v>27</v>
      </c>
    </row>
    <row r="10" spans="1:11" x14ac:dyDescent="0.35">
      <c r="A10" s="8">
        <v>9</v>
      </c>
      <c r="B10" s="5" t="s">
        <v>20</v>
      </c>
      <c r="C10" s="7" t="s">
        <v>21</v>
      </c>
      <c r="D10" s="2">
        <v>26</v>
      </c>
      <c r="E10" s="4" t="str">
        <f t="shared" si="0"/>
        <v>BB Ki Vines</v>
      </c>
      <c r="F10" s="4" t="str">
        <f t="shared" si="1"/>
        <v>BB KI VINES</v>
      </c>
      <c r="G10" s="4" t="str">
        <f t="shared" si="2"/>
        <v>bb ki vines</v>
      </c>
      <c r="H10" s="16" t="str">
        <f t="shared" si="4"/>
        <v>Bb Ki Vines</v>
      </c>
      <c r="I10" s="9">
        <f t="shared" si="3"/>
        <v>11</v>
      </c>
    </row>
    <row r="11" spans="1:11" x14ac:dyDescent="0.35">
      <c r="A11" s="8">
        <v>10</v>
      </c>
      <c r="B11" s="6" t="s">
        <v>22</v>
      </c>
      <c r="C11" s="7" t="s">
        <v>23</v>
      </c>
      <c r="D11" s="2">
        <v>22</v>
      </c>
      <c r="E11" s="4" t="str">
        <f t="shared" si="0"/>
        <v>Technical Guruji</v>
      </c>
      <c r="F11" s="4" t="str">
        <f t="shared" si="1"/>
        <v>TECHNICAL           GURUJI</v>
      </c>
      <c r="G11" s="4" t="str">
        <f t="shared" si="2"/>
        <v>technical           guruji</v>
      </c>
      <c r="H11" s="16" t="str">
        <f t="shared" si="4"/>
        <v>Technical           Guruji</v>
      </c>
      <c r="I11" s="9">
        <f t="shared" si="3"/>
        <v>26</v>
      </c>
    </row>
    <row r="12" spans="1:11" x14ac:dyDescent="0.35">
      <c r="A12" s="8">
        <v>11</v>
      </c>
      <c r="B12" s="5" t="s">
        <v>24</v>
      </c>
      <c r="C12" s="7" t="s">
        <v>25</v>
      </c>
      <c r="D12" s="2">
        <v>176</v>
      </c>
      <c r="E12" s="4" t="str">
        <f t="shared" si="0"/>
        <v>MrBeast</v>
      </c>
      <c r="F12" s="4" t="str">
        <f t="shared" si="1"/>
        <v>MRBEAST</v>
      </c>
      <c r="G12" s="4" t="str">
        <f t="shared" si="2"/>
        <v>mrbeast</v>
      </c>
      <c r="H12" s="16" t="str">
        <f t="shared" si="4"/>
        <v>Mrbeast</v>
      </c>
      <c r="I12" s="9">
        <f t="shared" si="3"/>
        <v>7</v>
      </c>
    </row>
    <row r="13" spans="1:11" x14ac:dyDescent="0.35">
      <c r="A13" s="8">
        <v>12</v>
      </c>
      <c r="B13" s="6" t="s">
        <v>26</v>
      </c>
      <c r="C13" s="7" t="s">
        <v>27</v>
      </c>
      <c r="D13" s="2">
        <v>111</v>
      </c>
      <c r="E13" s="4" t="str">
        <f t="shared" si="0"/>
        <v>PEwdiePie</v>
      </c>
      <c r="F13" s="4" t="str">
        <f t="shared" si="1"/>
        <v>PEWDIEPIE</v>
      </c>
      <c r="G13" s="4" t="str">
        <f t="shared" si="2"/>
        <v>pewdiepie</v>
      </c>
      <c r="H13" s="16" t="str">
        <f t="shared" si="4"/>
        <v>Pewdiepie</v>
      </c>
      <c r="I13" s="9">
        <f t="shared" si="3"/>
        <v>9</v>
      </c>
    </row>
    <row r="14" spans="1:11" x14ac:dyDescent="0.35">
      <c r="A14" s="8">
        <v>13</v>
      </c>
      <c r="B14" s="6" t="s">
        <v>28</v>
      </c>
      <c r="C14" s="7" t="s">
        <v>29</v>
      </c>
      <c r="D14" s="2">
        <v>78</v>
      </c>
      <c r="E14" s="4" t="str">
        <f t="shared" si="0"/>
        <v>5-minute CRAFTS</v>
      </c>
      <c r="F14" s="4" t="str">
        <f t="shared" si="1"/>
        <v>5-MINUTE CRAFTS</v>
      </c>
      <c r="G14" s="4" t="str">
        <f t="shared" si="2"/>
        <v>5-minute crafts</v>
      </c>
      <c r="H14" s="16" t="str">
        <f t="shared" si="4"/>
        <v>5-Minute Crafts</v>
      </c>
      <c r="I14" s="9">
        <f t="shared" si="3"/>
        <v>15</v>
      </c>
    </row>
    <row r="15" spans="1:11" x14ac:dyDescent="0.35">
      <c r="A15" s="8">
        <v>14</v>
      </c>
      <c r="B15" s="5" t="s">
        <v>30</v>
      </c>
      <c r="C15" s="7" t="s">
        <v>31</v>
      </c>
      <c r="D15" s="2">
        <v>106</v>
      </c>
      <c r="E15" s="4" t="str">
        <f t="shared" si="0"/>
        <v>likeNastia</v>
      </c>
      <c r="F15" s="4" t="str">
        <f t="shared" si="1"/>
        <v>LIKENASTIA</v>
      </c>
      <c r="G15" s="4" t="str">
        <f t="shared" si="2"/>
        <v>likenastia</v>
      </c>
      <c r="H15" s="16" t="str">
        <f t="shared" si="4"/>
        <v>Likenastia</v>
      </c>
      <c r="I15" s="9">
        <f t="shared" si="3"/>
        <v>10</v>
      </c>
    </row>
    <row r="16" spans="1:11" x14ac:dyDescent="0.35">
      <c r="A16" s="8">
        <v>15</v>
      </c>
      <c r="B16" s="5" t="s">
        <v>32</v>
      </c>
      <c r="C16" s="7" t="s">
        <v>33</v>
      </c>
      <c r="D16" s="2">
        <v>163</v>
      </c>
      <c r="E16" s="4" t="str">
        <f t="shared" si="0"/>
        <v>coComelon - Nursery rhymes</v>
      </c>
      <c r="F16" s="4" t="str">
        <f t="shared" si="1"/>
        <v>COCOMELON - NURSERY RHYMES</v>
      </c>
      <c r="G16" s="4" t="str">
        <f t="shared" si="2"/>
        <v>cocomelon - nursery rhymes</v>
      </c>
      <c r="H16" s="16" t="str">
        <f t="shared" si="4"/>
        <v>Cocomelon - Nursery Rhymes</v>
      </c>
      <c r="I16" s="9">
        <f t="shared" si="3"/>
        <v>26</v>
      </c>
    </row>
    <row r="17" spans="1:9" x14ac:dyDescent="0.35">
      <c r="A17" s="8">
        <v>16</v>
      </c>
      <c r="B17" s="6" t="s">
        <v>34</v>
      </c>
      <c r="C17" s="7" t="s">
        <v>35</v>
      </c>
      <c r="D17" s="2">
        <v>66</v>
      </c>
      <c r="E17" s="4" t="str">
        <f t="shared" si="0"/>
        <v>Canal Kondzilla</v>
      </c>
      <c r="F17" s="4" t="str">
        <f t="shared" si="1"/>
        <v>CANAL             KONDZILLA</v>
      </c>
      <c r="G17" s="4" t="str">
        <f t="shared" si="2"/>
        <v>canal             kondzilla</v>
      </c>
      <c r="H17" s="16" t="str">
        <f t="shared" si="4"/>
        <v>Canal             Kondzilla</v>
      </c>
      <c r="I17" s="9">
        <f t="shared" si="3"/>
        <v>27</v>
      </c>
    </row>
    <row r="18" spans="1:9" x14ac:dyDescent="0.35">
      <c r="A18" s="8">
        <v>17</v>
      </c>
      <c r="B18" s="5" t="s">
        <v>36</v>
      </c>
      <c r="C18" s="7" t="s">
        <v>37</v>
      </c>
      <c r="D18" s="2">
        <v>115</v>
      </c>
      <c r="E18" s="4" t="str">
        <f t="shared" si="0"/>
        <v>kids D Iana Show</v>
      </c>
      <c r="F18" s="4" t="str">
        <f t="shared" si="1"/>
        <v>KIDS D IANA SHOW</v>
      </c>
      <c r="G18" s="4" t="str">
        <f t="shared" si="2"/>
        <v>kids d iana show</v>
      </c>
      <c r="H18" s="16" t="str">
        <f t="shared" si="4"/>
        <v>Kids D Iana Show</v>
      </c>
      <c r="I18" s="9">
        <f t="shared" si="3"/>
        <v>16</v>
      </c>
    </row>
    <row r="19" spans="1:9" x14ac:dyDescent="0.35">
      <c r="A19" s="8">
        <v>18</v>
      </c>
      <c r="B19" s="5" t="s">
        <v>38</v>
      </c>
      <c r="C19" s="7" t="s">
        <v>39</v>
      </c>
      <c r="D19" s="2">
        <v>44</v>
      </c>
      <c r="E19" s="4" t="str">
        <f t="shared" si="0"/>
        <v>Badabun</v>
      </c>
      <c r="F19" s="4" t="str">
        <f t="shared" si="1"/>
        <v>BADABUN</v>
      </c>
      <c r="G19" s="4" t="str">
        <f t="shared" si="2"/>
        <v>badabun</v>
      </c>
      <c r="H19" s="16" t="str">
        <f t="shared" si="4"/>
        <v>Badabun</v>
      </c>
      <c r="I19" s="9">
        <f t="shared" si="3"/>
        <v>7</v>
      </c>
    </row>
    <row r="20" spans="1:9" x14ac:dyDescent="0.35">
      <c r="A20" s="8">
        <v>19</v>
      </c>
      <c r="B20" s="5" t="s">
        <v>40</v>
      </c>
      <c r="C20" s="7" t="s">
        <v>41</v>
      </c>
      <c r="D20" s="2">
        <v>25</v>
      </c>
      <c r="E20" s="4" t="str">
        <f t="shared" si="0"/>
        <v>VanossGaming</v>
      </c>
      <c r="F20" s="4" t="str">
        <f t="shared" si="1"/>
        <v>VANOSSGAMING</v>
      </c>
      <c r="G20" s="4" t="str">
        <f t="shared" si="2"/>
        <v>vanossgaming</v>
      </c>
      <c r="H20" s="16" t="str">
        <f t="shared" si="4"/>
        <v>Vanossgaming</v>
      </c>
      <c r="I20" s="9">
        <f t="shared" si="3"/>
        <v>12</v>
      </c>
    </row>
    <row r="21" spans="1:9" x14ac:dyDescent="0.35">
      <c r="A21" s="8">
        <v>20</v>
      </c>
      <c r="B21" s="5" t="s">
        <v>42</v>
      </c>
      <c r="C21" s="7" t="s">
        <v>43</v>
      </c>
      <c r="D21" s="2">
        <v>35</v>
      </c>
      <c r="E21" s="4" t="str">
        <f t="shared" si="0"/>
        <v>Markiplier</v>
      </c>
      <c r="F21" s="4" t="str">
        <f t="shared" si="1"/>
        <v>MARKIPLIER</v>
      </c>
      <c r="G21" s="4" t="str">
        <f t="shared" si="2"/>
        <v>markiplier</v>
      </c>
      <c r="H21" s="16" t="str">
        <f t="shared" si="4"/>
        <v>Markiplier</v>
      </c>
      <c r="I21" s="9">
        <f t="shared" si="3"/>
        <v>10</v>
      </c>
    </row>
    <row r="22" spans="1:9" x14ac:dyDescent="0.35">
      <c r="H22" s="16" t="s">
        <v>59</v>
      </c>
    </row>
    <row r="23" spans="1:9" x14ac:dyDescent="0.35">
      <c r="H23" s="16" t="s">
        <v>60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45B5-928C-41A5-A3D9-FE3D142A6728}">
  <dimension ref="A1:F14"/>
  <sheetViews>
    <sheetView workbookViewId="0">
      <selection activeCell="H9" sqref="H9"/>
    </sheetView>
  </sheetViews>
  <sheetFormatPr defaultRowHeight="14.5" x14ac:dyDescent="0.35"/>
  <cols>
    <col min="1" max="1" width="18" bestFit="1" customWidth="1"/>
    <col min="5" max="5" width="18.81640625" customWidth="1"/>
    <col min="6" max="6" width="11.54296875" customWidth="1"/>
  </cols>
  <sheetData>
    <row r="1" spans="1:6" x14ac:dyDescent="0.35">
      <c r="A1" t="s">
        <v>49</v>
      </c>
      <c r="B1" t="s">
        <v>50</v>
      </c>
      <c r="C1" t="s">
        <v>51</v>
      </c>
      <c r="E1" t="s">
        <v>52</v>
      </c>
    </row>
    <row r="2" spans="1:6" x14ac:dyDescent="0.35">
      <c r="A2" t="s">
        <v>47</v>
      </c>
      <c r="B2">
        <v>25</v>
      </c>
      <c r="C2">
        <v>10000</v>
      </c>
      <c r="E2" t="s">
        <v>53</v>
      </c>
      <c r="F2" t="str">
        <f>LEFT(A2,6)</f>
        <v xml:space="preserve">Pavan </v>
      </c>
    </row>
    <row r="3" spans="1:6" x14ac:dyDescent="0.35">
      <c r="E3" t="s">
        <v>54</v>
      </c>
      <c r="F3" t="str">
        <f>RIGHT(A2,5)</f>
        <v>Kumar</v>
      </c>
    </row>
    <row r="6" spans="1:6" x14ac:dyDescent="0.35">
      <c r="A6" t="s">
        <v>49</v>
      </c>
      <c r="B6" t="s">
        <v>50</v>
      </c>
      <c r="C6" t="s">
        <v>51</v>
      </c>
      <c r="E6" t="s">
        <v>52</v>
      </c>
    </row>
    <row r="7" spans="1:6" x14ac:dyDescent="0.35">
      <c r="A7" t="s">
        <v>55</v>
      </c>
      <c r="B7">
        <v>25</v>
      </c>
      <c r="C7">
        <v>10000</v>
      </c>
      <c r="E7" t="s">
        <v>53</v>
      </c>
      <c r="F7" t="str">
        <f>LEFT(A7,6)</f>
        <v>Bharth</v>
      </c>
    </row>
    <row r="8" spans="1:6" x14ac:dyDescent="0.35">
      <c r="E8" t="s">
        <v>54</v>
      </c>
      <c r="F8" t="str">
        <f>RIGHT(A7,5)</f>
        <v>Yadav</v>
      </c>
    </row>
    <row r="11" spans="1:6" x14ac:dyDescent="0.35">
      <c r="A11" t="s">
        <v>49</v>
      </c>
      <c r="B11" t="s">
        <v>50</v>
      </c>
      <c r="C11" t="s">
        <v>51</v>
      </c>
      <c r="E11" t="s">
        <v>52</v>
      </c>
    </row>
    <row r="12" spans="1:6" x14ac:dyDescent="0.35">
      <c r="A12" t="s">
        <v>56</v>
      </c>
      <c r="B12">
        <v>25</v>
      </c>
      <c r="C12">
        <v>10000</v>
      </c>
      <c r="E12" t="s">
        <v>53</v>
      </c>
      <c r="F12" s="12" t="str">
        <f>LEFT(A12,6)</f>
        <v>ShivaR</v>
      </c>
    </row>
    <row r="13" spans="1:6" x14ac:dyDescent="0.35">
      <c r="E13" t="s">
        <v>54</v>
      </c>
      <c r="F13" s="12" t="str">
        <f>RIGHT(A12,5)</f>
        <v>ishna</v>
      </c>
    </row>
    <row r="14" spans="1:6" x14ac:dyDescent="0.35">
      <c r="F14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B5BA-E32B-4B7B-B349-812C59A4E6C8}">
  <dimension ref="A1:J24"/>
  <sheetViews>
    <sheetView topLeftCell="A17" workbookViewId="0">
      <selection activeCell="E30" sqref="E30"/>
    </sheetView>
  </sheetViews>
  <sheetFormatPr defaultRowHeight="14.5" x14ac:dyDescent="0.35"/>
  <cols>
    <col min="1" max="1" width="11.26953125" customWidth="1"/>
    <col min="2" max="3" width="11" customWidth="1"/>
    <col min="4" max="4" width="33.7265625" bestFit="1" customWidth="1"/>
    <col min="5" max="7" width="26.26953125" bestFit="1" customWidth="1"/>
    <col min="8" max="8" width="12.6328125" bestFit="1" customWidth="1"/>
    <col min="9" max="9" width="15.7265625" bestFit="1" customWidth="1"/>
    <col min="10" max="10" width="16.08984375" bestFit="1" customWidth="1"/>
    <col min="11" max="11" width="42" bestFit="1" customWidth="1"/>
  </cols>
  <sheetData>
    <row r="1" spans="1:10" x14ac:dyDescent="0.35">
      <c r="A1" t="s">
        <v>53</v>
      </c>
      <c r="B1" t="s">
        <v>72</v>
      </c>
      <c r="C1" t="s">
        <v>54</v>
      </c>
      <c r="D1" t="s">
        <v>49</v>
      </c>
      <c r="E1" t="s">
        <v>67</v>
      </c>
      <c r="F1" t="s">
        <v>69</v>
      </c>
      <c r="G1" t="s">
        <v>70</v>
      </c>
      <c r="H1" t="s">
        <v>71</v>
      </c>
      <c r="I1" t="s">
        <v>76</v>
      </c>
      <c r="J1" t="s">
        <v>75</v>
      </c>
    </row>
    <row r="2" spans="1:10" x14ac:dyDescent="0.35">
      <c r="A2" t="s">
        <v>68</v>
      </c>
      <c r="C2" t="s">
        <v>61</v>
      </c>
      <c r="D2" t="e">
        <f>A2+C2</f>
        <v>#VALUE!</v>
      </c>
      <c r="E2" t="str">
        <f>_xlfn.CONCAT(A2,C2)</f>
        <v>AnilKumar</v>
      </c>
      <c r="F2" t="str">
        <f xml:space="preserve"> _xlfn.CONCAT(A2, " ",C2)</f>
        <v>Anil Kumar</v>
      </c>
      <c r="G2" t="str">
        <f>_xlfn.TEXTJOIN(" ",TRUE,A2,C2)</f>
        <v>Anil Kumar</v>
      </c>
      <c r="H2" t="str">
        <f>_xlfn.TEXTJOIN("#",TRUE,A2,C2)</f>
        <v>Anil#Kumar</v>
      </c>
      <c r="I2" t="str">
        <f>_xlfn.TEXTJOIN(" ",TRUE,A2,C2,B2)</f>
        <v>Anil Kumar</v>
      </c>
      <c r="J2" t="str">
        <f>_xlfn.TEXTJOIN(" ", FALSE,A2,B2,C2)</f>
        <v>Anil  Kumar</v>
      </c>
    </row>
    <row r="3" spans="1:10" x14ac:dyDescent="0.35">
      <c r="A3" t="s">
        <v>62</v>
      </c>
      <c r="B3" t="s">
        <v>73</v>
      </c>
      <c r="C3" t="s">
        <v>63</v>
      </c>
      <c r="D3" t="e">
        <f>A3+C3</f>
        <v>#VALUE!</v>
      </c>
      <c r="E3" t="str">
        <f>_xlfn.CONCAT(A3,C3)</f>
        <v>RohitSharma</v>
      </c>
      <c r="F3" t="str">
        <f xml:space="preserve"> _xlfn.CONCAT(A3, " ",C3)</f>
        <v>Rohit Sharma</v>
      </c>
      <c r="G3" t="str">
        <f>_xlfn.TEXTJOIN(" ",TRUE,A3,C3)</f>
        <v>Rohit Sharma</v>
      </c>
      <c r="H3" t="str">
        <f>_xlfn.TEXTJOIN("#",TRUE,A3,C3)</f>
        <v>Rohit#Sharma</v>
      </c>
      <c r="I3" t="str">
        <f>_xlfn.TEXTJOIN(" ",TRUE,A3,C3,B3)</f>
        <v>Rohit Sharma g</v>
      </c>
      <c r="J3" t="str">
        <f>_xlfn.TEXTJOIN(" ", FALSE,A3,B3,C3)</f>
        <v>Rohit g Sharma</v>
      </c>
    </row>
    <row r="4" spans="1:10" x14ac:dyDescent="0.35">
      <c r="A4" t="s">
        <v>64</v>
      </c>
      <c r="B4" t="s">
        <v>74</v>
      </c>
      <c r="C4" t="s">
        <v>65</v>
      </c>
      <c r="D4" t="e">
        <f>A4+C4</f>
        <v>#VALUE!</v>
      </c>
      <c r="E4" t="str">
        <f>_xlfn.CONCAT(A4,C4)</f>
        <v>ViratKholi</v>
      </c>
      <c r="F4" t="str">
        <f xml:space="preserve"> _xlfn.CONCAT(A4, " ",C4)</f>
        <v>Virat Kholi</v>
      </c>
      <c r="G4" t="str">
        <f>_xlfn.TEXTJOIN(" ",TRUE,A4,C4)</f>
        <v>Virat Kholi</v>
      </c>
      <c r="H4" t="str">
        <f>_xlfn.TEXTJOIN("#",TRUE,A4,C4)</f>
        <v>Virat#Kholi</v>
      </c>
      <c r="I4" t="str">
        <f>_xlfn.TEXTJOIN(" ",TRUE,A4,C4,B4)</f>
        <v>Virat Kholi f</v>
      </c>
      <c r="J4" t="str">
        <f t="shared" ref="J3:J5" si="0">_xlfn.TEXTJOIN(" ", FALSE,A4,B4,C4)</f>
        <v>Virat f Kholi</v>
      </c>
    </row>
    <row r="5" spans="1:10" x14ac:dyDescent="0.35">
      <c r="A5" t="s">
        <v>66</v>
      </c>
      <c r="C5" t="s">
        <v>61</v>
      </c>
      <c r="D5" t="e">
        <f>A5+C5</f>
        <v>#VALUE!</v>
      </c>
      <c r="E5" t="str">
        <f>_xlfn.CONCAT(A5,C5)</f>
        <v>SuryaKumar</v>
      </c>
      <c r="F5" t="str">
        <f xml:space="preserve"> _xlfn.CONCAT(A5, " ",C5)</f>
        <v>Surya Kumar</v>
      </c>
      <c r="G5" t="str">
        <f>_xlfn.TEXTJOIN(" ",TRUE,A5,C5)</f>
        <v>Surya Kumar</v>
      </c>
      <c r="H5" t="str">
        <f>_xlfn.TEXTJOIN("#",TRUE,A5,C5)</f>
        <v>Surya#Kumar</v>
      </c>
      <c r="I5" t="str">
        <f>_xlfn.TEXTJOIN(" ",TRUE,A5,C5,B5)</f>
        <v>Surya Kumar</v>
      </c>
      <c r="J5" t="str">
        <f t="shared" si="0"/>
        <v>Surya  Kumar</v>
      </c>
    </row>
    <row r="12" spans="1:10" x14ac:dyDescent="0.35">
      <c r="A12" t="s">
        <v>53</v>
      </c>
      <c r="B12" t="s">
        <v>72</v>
      </c>
      <c r="C12" t="s">
        <v>54</v>
      </c>
      <c r="D12" t="s">
        <v>77</v>
      </c>
      <c r="E12" t="s">
        <v>78</v>
      </c>
    </row>
    <row r="13" spans="1:10" x14ac:dyDescent="0.35">
      <c r="A13" t="s">
        <v>68</v>
      </c>
      <c r="C13" t="s">
        <v>61</v>
      </c>
      <c r="D13" t="str">
        <f>_xlfn.TEXTJOIN("@gmail.com",TRUE,A13,C13,B13)</f>
        <v>Anil@gmail.comKumar</v>
      </c>
      <c r="E13" t="str">
        <f>_xlfn.CONCAT(A13,C13,"@gmail.com")</f>
        <v>AnilKumar@gmail.com</v>
      </c>
    </row>
    <row r="14" spans="1:10" x14ac:dyDescent="0.35">
      <c r="A14" t="s">
        <v>62</v>
      </c>
      <c r="B14" t="s">
        <v>79</v>
      </c>
      <c r="C14" t="s">
        <v>63</v>
      </c>
      <c r="D14" t="str">
        <f>_xlfn.TEXTJOIN("@gmail.com",TRUE,A14,C14,B14)</f>
        <v>Rohit@gmail.comSharma@gmail.comG</v>
      </c>
      <c r="E14" t="str">
        <f t="shared" ref="E14:E16" si="1">_xlfn.CONCAT(A14,C14,"@gmail.com")</f>
        <v>RohitSharma@gmail.com</v>
      </c>
    </row>
    <row r="15" spans="1:10" x14ac:dyDescent="0.35">
      <c r="A15" t="s">
        <v>64</v>
      </c>
      <c r="B15" t="s">
        <v>80</v>
      </c>
      <c r="C15" t="s">
        <v>65</v>
      </c>
      <c r="D15" t="str">
        <f t="shared" ref="D14:D16" si="2">_xlfn.TEXTJOIN("@gmail.com",TRUE,A15,C15,B15)</f>
        <v>Virat@gmail.comKholi@gmail.comF</v>
      </c>
      <c r="E15" t="str">
        <f t="shared" si="1"/>
        <v>ViratKholi@gmail.com</v>
      </c>
    </row>
    <row r="16" spans="1:10" x14ac:dyDescent="0.35">
      <c r="A16" t="s">
        <v>66</v>
      </c>
      <c r="C16" t="s">
        <v>61</v>
      </c>
      <c r="D16" t="str">
        <f t="shared" si="2"/>
        <v>Surya@gmail.comKumar</v>
      </c>
      <c r="E16" t="str">
        <f t="shared" si="1"/>
        <v>SuryaKumar@gmail.com</v>
      </c>
    </row>
    <row r="20" spans="1:7" x14ac:dyDescent="0.35">
      <c r="A20" t="s">
        <v>53</v>
      </c>
      <c r="B20" t="s">
        <v>72</v>
      </c>
      <c r="C20" t="s">
        <v>54</v>
      </c>
      <c r="D20" s="18" t="s">
        <v>81</v>
      </c>
      <c r="E20" t="s">
        <v>82</v>
      </c>
      <c r="F20" t="s">
        <v>83</v>
      </c>
      <c r="G20" t="s">
        <v>84</v>
      </c>
    </row>
    <row r="21" spans="1:7" x14ac:dyDescent="0.35">
      <c r="A21" t="s">
        <v>68</v>
      </c>
      <c r="C21" t="s">
        <v>61</v>
      </c>
      <c r="D21" s="18">
        <v>1234554321</v>
      </c>
      <c r="E21" t="str">
        <f>_xlfn.CONCAT(A21,C21,RIGHT(D21,4),"@gmail.com")</f>
        <v>AnilKumar4321@gmail.com</v>
      </c>
      <c r="F21" t="str">
        <f>_xlfn.CONCAT(A21,C21,LEFT(D21,4),"@gmail.com")</f>
        <v>AnilKumar1234@gmail.com</v>
      </c>
      <c r="G21" t="str">
        <f>_xlfn.CONCAT(A21,C21,MID(D21,5,4),"@gmail.com")</f>
        <v>AnilKumar5543@gmail.com</v>
      </c>
    </row>
    <row r="22" spans="1:7" x14ac:dyDescent="0.35">
      <c r="A22" t="s">
        <v>62</v>
      </c>
      <c r="B22" t="s">
        <v>79</v>
      </c>
      <c r="C22" t="s">
        <v>63</v>
      </c>
      <c r="D22" s="18">
        <v>5556667778</v>
      </c>
      <c r="E22" t="str">
        <f t="shared" ref="E22:E24" si="3">_xlfn.CONCAT(A22,C22,RIGHT(D22,4),"@gmail.com")</f>
        <v>RohitSharma7778@gmail.com</v>
      </c>
      <c r="F22" t="str">
        <f t="shared" ref="F22:F24" si="4">_xlfn.CONCAT(A22,C22,LEFT(D22,4),"@gmail.com")</f>
        <v>RohitSharma5556@gmail.com</v>
      </c>
      <c r="G22" t="str">
        <f t="shared" ref="G22:G24" si="5">_xlfn.CONCAT(A22,C22,MID(D22,5,4),"@gmail.com")</f>
        <v>RohitSharma6677@gmail.com</v>
      </c>
    </row>
    <row r="23" spans="1:7" x14ac:dyDescent="0.35">
      <c r="A23" t="s">
        <v>64</v>
      </c>
      <c r="B23" t="s">
        <v>80</v>
      </c>
      <c r="C23" t="s">
        <v>65</v>
      </c>
      <c r="D23" s="18">
        <v>1122334455</v>
      </c>
      <c r="E23" t="str">
        <f t="shared" si="3"/>
        <v>ViratKholi4455@gmail.com</v>
      </c>
      <c r="F23" t="str">
        <f t="shared" si="4"/>
        <v>ViratKholi1122@gmail.com</v>
      </c>
      <c r="G23" t="str">
        <f t="shared" si="5"/>
        <v>ViratKholi3344@gmail.com</v>
      </c>
    </row>
    <row r="24" spans="1:7" x14ac:dyDescent="0.35">
      <c r="A24" t="s">
        <v>66</v>
      </c>
      <c r="C24" t="s">
        <v>61</v>
      </c>
      <c r="D24" s="18">
        <v>2233223344</v>
      </c>
      <c r="E24" t="str">
        <f t="shared" si="3"/>
        <v>SuryaKumar3344@gmail.com</v>
      </c>
      <c r="F24" t="str">
        <f t="shared" si="4"/>
        <v>SuryaKumar2233@gmail.com</v>
      </c>
      <c r="G24" t="str">
        <f t="shared" si="5"/>
        <v>SuryaKumar2233@gmail.com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5A5E8-8436-4B62-B5CE-5400B8E44FDF}">
  <dimension ref="A1:F21"/>
  <sheetViews>
    <sheetView workbookViewId="0">
      <selection activeCell="H9" sqref="H9"/>
    </sheetView>
  </sheetViews>
  <sheetFormatPr defaultRowHeight="14.5" x14ac:dyDescent="0.35"/>
  <cols>
    <col min="1" max="1" width="19.54296875" bestFit="1" customWidth="1"/>
    <col min="2" max="2" width="18.81640625" style="9" customWidth="1"/>
    <col min="3" max="3" width="14.90625" style="9" customWidth="1"/>
    <col min="4" max="4" width="18.08984375" customWidth="1"/>
    <col min="5" max="5" width="22.6328125" bestFit="1" customWidth="1"/>
    <col min="6" max="6" width="13.453125" customWidth="1"/>
  </cols>
  <sheetData>
    <row r="1" spans="1:6" x14ac:dyDescent="0.35">
      <c r="A1" s="3" t="s">
        <v>2</v>
      </c>
      <c r="B1" s="9" t="s">
        <v>85</v>
      </c>
      <c r="C1" s="9" t="s">
        <v>86</v>
      </c>
      <c r="D1" t="s">
        <v>87</v>
      </c>
      <c r="E1" t="s">
        <v>88</v>
      </c>
    </row>
    <row r="2" spans="1:6" x14ac:dyDescent="0.35">
      <c r="A2" s="7" t="s">
        <v>5</v>
      </c>
      <c r="B2" s="9">
        <f>FIND("a",A2)</f>
        <v>6</v>
      </c>
      <c r="C2" s="9">
        <f>SEARCH("a",A2)</f>
        <v>6</v>
      </c>
      <c r="D2">
        <f>FIND("ar",A2)</f>
        <v>12</v>
      </c>
      <c r="E2">
        <f>SEARCH("ar",A2)</f>
        <v>12</v>
      </c>
      <c r="F2" t="e">
        <f>FIND("a,r",A2)</f>
        <v>#VALUE!</v>
      </c>
    </row>
    <row r="3" spans="1:6" x14ac:dyDescent="0.35">
      <c r="A3" s="7" t="s">
        <v>7</v>
      </c>
      <c r="B3" s="9" t="e">
        <f t="shared" ref="B3:B21" si="0">FIND("a",A3)</f>
        <v>#VALUE!</v>
      </c>
      <c r="C3" s="9" t="e">
        <f t="shared" ref="C3:C21" si="1">SEARCH("a",A3)</f>
        <v>#VALUE!</v>
      </c>
      <c r="D3" t="e">
        <f t="shared" ref="D3:D21" si="2">FIND("ar",A3)</f>
        <v>#VALUE!</v>
      </c>
      <c r="E3" t="e">
        <f t="shared" ref="E3:E21" si="3">SEARCH("ar",A3)</f>
        <v>#VALUE!</v>
      </c>
      <c r="F3" t="e">
        <f t="shared" ref="F3:F21" si="4">FIND("a,r",A3)</f>
        <v>#VALUE!</v>
      </c>
    </row>
    <row r="4" spans="1:6" x14ac:dyDescent="0.35">
      <c r="A4" s="7" t="s">
        <v>90</v>
      </c>
      <c r="B4" s="9">
        <f t="shared" si="0"/>
        <v>5</v>
      </c>
      <c r="C4" s="9">
        <f t="shared" si="1"/>
        <v>5</v>
      </c>
      <c r="D4" t="e">
        <f t="shared" si="2"/>
        <v>#VALUE!</v>
      </c>
      <c r="E4" t="e">
        <f t="shared" si="3"/>
        <v>#VALUE!</v>
      </c>
      <c r="F4">
        <f t="shared" si="4"/>
        <v>15</v>
      </c>
    </row>
    <row r="5" spans="1:6" x14ac:dyDescent="0.35">
      <c r="A5" s="7" t="s">
        <v>11</v>
      </c>
      <c r="B5" s="9">
        <f t="shared" si="0"/>
        <v>12</v>
      </c>
      <c r="C5" s="9">
        <f t="shared" si="1"/>
        <v>12</v>
      </c>
      <c r="D5" t="e">
        <f t="shared" si="2"/>
        <v>#VALUE!</v>
      </c>
      <c r="E5" t="e">
        <f t="shared" si="3"/>
        <v>#VALUE!</v>
      </c>
      <c r="F5" t="e">
        <f t="shared" si="4"/>
        <v>#VALUE!</v>
      </c>
    </row>
    <row r="6" spans="1:6" x14ac:dyDescent="0.35">
      <c r="A6" s="7" t="s">
        <v>13</v>
      </c>
      <c r="B6" s="9">
        <f t="shared" si="0"/>
        <v>5</v>
      </c>
      <c r="C6" s="9">
        <f t="shared" si="1"/>
        <v>5</v>
      </c>
      <c r="D6" t="e">
        <f t="shared" si="2"/>
        <v>#VALUE!</v>
      </c>
      <c r="E6" t="e">
        <f t="shared" si="3"/>
        <v>#VALUE!</v>
      </c>
      <c r="F6" t="e">
        <f t="shared" si="4"/>
        <v>#VALUE!</v>
      </c>
    </row>
    <row r="7" spans="1:6" x14ac:dyDescent="0.35">
      <c r="A7" s="7" t="s">
        <v>15</v>
      </c>
      <c r="B7" s="9">
        <f t="shared" si="0"/>
        <v>2</v>
      </c>
      <c r="C7" s="9">
        <f t="shared" si="1"/>
        <v>2</v>
      </c>
      <c r="D7" t="e">
        <f t="shared" si="2"/>
        <v>#VALUE!</v>
      </c>
      <c r="E7" t="e">
        <f t="shared" si="3"/>
        <v>#VALUE!</v>
      </c>
      <c r="F7" t="e">
        <f t="shared" si="4"/>
        <v>#VALUE!</v>
      </c>
    </row>
    <row r="8" spans="1:6" x14ac:dyDescent="0.35">
      <c r="A8" s="7" t="s">
        <v>17</v>
      </c>
      <c r="B8" s="19">
        <f t="shared" si="0"/>
        <v>7</v>
      </c>
      <c r="C8" s="19">
        <f t="shared" si="1"/>
        <v>1</v>
      </c>
      <c r="D8">
        <f t="shared" si="2"/>
        <v>9</v>
      </c>
      <c r="E8">
        <f t="shared" si="3"/>
        <v>9</v>
      </c>
      <c r="F8" t="e">
        <f t="shared" si="4"/>
        <v>#VALUE!</v>
      </c>
    </row>
    <row r="9" spans="1:6" x14ac:dyDescent="0.35">
      <c r="A9" s="7" t="s">
        <v>19</v>
      </c>
      <c r="B9" s="19">
        <f t="shared" si="0"/>
        <v>10</v>
      </c>
      <c r="C9" s="19">
        <f t="shared" si="1"/>
        <v>1</v>
      </c>
      <c r="D9" t="e">
        <f t="shared" si="2"/>
        <v>#VALUE!</v>
      </c>
      <c r="E9" t="e">
        <f t="shared" si="3"/>
        <v>#VALUE!</v>
      </c>
      <c r="F9" t="e">
        <f t="shared" si="4"/>
        <v>#VALUE!</v>
      </c>
    </row>
    <row r="10" spans="1:6" x14ac:dyDescent="0.35">
      <c r="A10" s="7" t="s">
        <v>21</v>
      </c>
      <c r="B10" s="9">
        <f t="shared" si="0"/>
        <v>5</v>
      </c>
      <c r="C10" s="9">
        <f t="shared" si="1"/>
        <v>5</v>
      </c>
      <c r="D10" t="e">
        <f t="shared" si="2"/>
        <v>#VALUE!</v>
      </c>
      <c r="E10" t="e">
        <f t="shared" si="3"/>
        <v>#VALUE!</v>
      </c>
      <c r="F10" t="e">
        <f t="shared" si="4"/>
        <v>#VALUE!</v>
      </c>
    </row>
    <row r="11" spans="1:6" x14ac:dyDescent="0.35">
      <c r="A11" s="7" t="s">
        <v>23</v>
      </c>
      <c r="B11" s="9">
        <f t="shared" si="0"/>
        <v>2</v>
      </c>
      <c r="C11" s="9">
        <f t="shared" si="1"/>
        <v>2</v>
      </c>
      <c r="D11">
        <f t="shared" si="2"/>
        <v>14</v>
      </c>
      <c r="E11">
        <f t="shared" si="3"/>
        <v>14</v>
      </c>
      <c r="F11" t="e">
        <f t="shared" si="4"/>
        <v>#VALUE!</v>
      </c>
    </row>
    <row r="12" spans="1:6" x14ac:dyDescent="0.35">
      <c r="A12" s="7" t="s">
        <v>25</v>
      </c>
      <c r="B12" s="9">
        <f t="shared" si="0"/>
        <v>10</v>
      </c>
      <c r="C12" s="9">
        <f t="shared" si="1"/>
        <v>10</v>
      </c>
      <c r="D12" t="e">
        <f t="shared" si="2"/>
        <v>#VALUE!</v>
      </c>
      <c r="E12" t="e">
        <f t="shared" si="3"/>
        <v>#VALUE!</v>
      </c>
      <c r="F12" t="e">
        <f t="shared" si="4"/>
        <v>#VALUE!</v>
      </c>
    </row>
    <row r="13" spans="1:6" x14ac:dyDescent="0.35">
      <c r="A13" s="7" t="s">
        <v>27</v>
      </c>
      <c r="B13" s="9" t="e">
        <f t="shared" si="0"/>
        <v>#VALUE!</v>
      </c>
      <c r="C13" s="9" t="e">
        <f t="shared" si="1"/>
        <v>#VALUE!</v>
      </c>
      <c r="D13" t="e">
        <f t="shared" si="2"/>
        <v>#VALUE!</v>
      </c>
      <c r="E13" t="e">
        <f t="shared" si="3"/>
        <v>#VALUE!</v>
      </c>
      <c r="F13" t="e">
        <f t="shared" si="4"/>
        <v>#VALUE!</v>
      </c>
    </row>
    <row r="14" spans="1:6" x14ac:dyDescent="0.35">
      <c r="A14" s="7" t="s">
        <v>29</v>
      </c>
      <c r="B14" s="9" t="e">
        <f t="shared" si="0"/>
        <v>#VALUE!</v>
      </c>
      <c r="C14" s="9" t="e">
        <f t="shared" si="1"/>
        <v>#VALUE!</v>
      </c>
      <c r="D14" t="e">
        <f t="shared" si="2"/>
        <v>#VALUE!</v>
      </c>
      <c r="E14" t="e">
        <f t="shared" si="3"/>
        <v>#VALUE!</v>
      </c>
      <c r="F14" t="e">
        <f t="shared" si="4"/>
        <v>#VALUE!</v>
      </c>
    </row>
    <row r="15" spans="1:6" x14ac:dyDescent="0.35">
      <c r="A15" s="7" t="s">
        <v>31</v>
      </c>
      <c r="B15" s="9">
        <f t="shared" si="0"/>
        <v>1</v>
      </c>
      <c r="C15" s="9">
        <f t="shared" si="1"/>
        <v>1</v>
      </c>
      <c r="D15" t="e">
        <f t="shared" si="2"/>
        <v>#VALUE!</v>
      </c>
      <c r="E15" t="e">
        <f t="shared" si="3"/>
        <v>#VALUE!</v>
      </c>
      <c r="F15" t="e">
        <f t="shared" si="4"/>
        <v>#VALUE!</v>
      </c>
    </row>
    <row r="16" spans="1:6" x14ac:dyDescent="0.35">
      <c r="A16" s="7" t="s">
        <v>33</v>
      </c>
      <c r="B16" s="9">
        <f t="shared" si="0"/>
        <v>2</v>
      </c>
      <c r="C16" s="9">
        <f t="shared" si="1"/>
        <v>2</v>
      </c>
      <c r="D16" t="e">
        <f t="shared" si="2"/>
        <v>#VALUE!</v>
      </c>
      <c r="E16" t="e">
        <f t="shared" si="3"/>
        <v>#VALUE!</v>
      </c>
      <c r="F16" t="e">
        <f t="shared" si="4"/>
        <v>#VALUE!</v>
      </c>
    </row>
    <row r="17" spans="1:6" x14ac:dyDescent="0.35">
      <c r="A17" s="7" t="s">
        <v>35</v>
      </c>
      <c r="B17" s="9">
        <f t="shared" si="0"/>
        <v>5</v>
      </c>
      <c r="C17" s="9">
        <f t="shared" si="1"/>
        <v>5</v>
      </c>
      <c r="D17" t="e">
        <f t="shared" si="2"/>
        <v>#VALUE!</v>
      </c>
      <c r="E17" t="e">
        <f t="shared" si="3"/>
        <v>#VALUE!</v>
      </c>
      <c r="F17" t="e">
        <f t="shared" si="4"/>
        <v>#VALUE!</v>
      </c>
    </row>
    <row r="18" spans="1:6" x14ac:dyDescent="0.35">
      <c r="A18" s="7" t="s">
        <v>37</v>
      </c>
      <c r="B18" s="9">
        <f t="shared" si="0"/>
        <v>3</v>
      </c>
      <c r="C18" s="9">
        <f t="shared" si="1"/>
        <v>3</v>
      </c>
      <c r="D18" t="e">
        <f t="shared" si="2"/>
        <v>#VALUE!</v>
      </c>
      <c r="E18" t="e">
        <f t="shared" si="3"/>
        <v>#VALUE!</v>
      </c>
      <c r="F18" t="e">
        <f t="shared" si="4"/>
        <v>#VALUE!</v>
      </c>
    </row>
    <row r="19" spans="1:6" x14ac:dyDescent="0.35">
      <c r="A19" s="7" t="s">
        <v>89</v>
      </c>
      <c r="B19" s="9" t="e">
        <f t="shared" si="0"/>
        <v>#VALUE!</v>
      </c>
      <c r="C19" s="9">
        <f t="shared" si="1"/>
        <v>2</v>
      </c>
      <c r="D19" t="e">
        <f t="shared" si="2"/>
        <v>#VALUE!</v>
      </c>
      <c r="E19">
        <f t="shared" si="3"/>
        <v>2</v>
      </c>
      <c r="F19" t="e">
        <f t="shared" si="4"/>
        <v>#VALUE!</v>
      </c>
    </row>
    <row r="20" spans="1:6" x14ac:dyDescent="0.35">
      <c r="A20" s="7" t="s">
        <v>41</v>
      </c>
      <c r="B20" s="9">
        <f t="shared" si="0"/>
        <v>3</v>
      </c>
      <c r="C20" s="9">
        <f t="shared" si="1"/>
        <v>3</v>
      </c>
      <c r="D20" t="e">
        <f t="shared" si="2"/>
        <v>#VALUE!</v>
      </c>
      <c r="E20" t="e">
        <f t="shared" si="3"/>
        <v>#VALUE!</v>
      </c>
      <c r="F20" t="e">
        <f t="shared" si="4"/>
        <v>#VALUE!</v>
      </c>
    </row>
    <row r="21" spans="1:6" x14ac:dyDescent="0.35">
      <c r="A21" s="7" t="s">
        <v>43</v>
      </c>
      <c r="B21" s="9">
        <f t="shared" si="0"/>
        <v>2</v>
      </c>
      <c r="C21" s="9">
        <f t="shared" si="1"/>
        <v>2</v>
      </c>
      <c r="D21">
        <f t="shared" si="2"/>
        <v>2</v>
      </c>
      <c r="E21">
        <f t="shared" si="3"/>
        <v>2</v>
      </c>
      <c r="F21" t="e">
        <f t="shared" si="4"/>
        <v>#VALUE!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7D8EE-07F3-45D4-8C59-0BB6D28C3F81}">
  <dimension ref="D1:D7"/>
  <sheetViews>
    <sheetView tabSelected="1" workbookViewId="0">
      <selection activeCell="D1" sqref="D1:D7"/>
    </sheetView>
  </sheetViews>
  <sheetFormatPr defaultRowHeight="14.5" x14ac:dyDescent="0.35"/>
  <cols>
    <col min="4" max="4" width="51.453125" bestFit="1" customWidth="1"/>
  </cols>
  <sheetData>
    <row r="1" spans="4:4" x14ac:dyDescent="0.35">
      <c r="D1" t="s">
        <v>91</v>
      </c>
    </row>
    <row r="2" spans="4:4" x14ac:dyDescent="0.35">
      <c r="D2" t="s">
        <v>92</v>
      </c>
    </row>
    <row r="3" spans="4:4" x14ac:dyDescent="0.35">
      <c r="D3" t="s">
        <v>93</v>
      </c>
    </row>
    <row r="4" spans="4:4" x14ac:dyDescent="0.35">
      <c r="D4" t="s">
        <v>94</v>
      </c>
    </row>
    <row r="5" spans="4:4" x14ac:dyDescent="0.35">
      <c r="D5" t="s">
        <v>95</v>
      </c>
    </row>
    <row r="6" spans="4:4" x14ac:dyDescent="0.35">
      <c r="D6" t="s">
        <v>96</v>
      </c>
    </row>
    <row r="7" spans="4:4" x14ac:dyDescent="0.35">
      <c r="D7" t="s">
        <v>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2026-02-17T10:50:17Z</dcterms:created>
  <dcterms:modified xsi:type="dcterms:W3CDTF">2026-02-18T12:29:08Z</dcterms:modified>
</cp:coreProperties>
</file>